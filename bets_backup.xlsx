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imonsayadi/Desktop/oddisy/"/>
    </mc:Choice>
  </mc:AlternateContent>
  <xr:revisionPtr revIDLastSave="0" documentId="13_ncr:1_{63ECADB1-0C29-A643-AD1F-55ED37D4A567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Bet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" l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 l="1"/>
  <c r="P2" i="1" l="1"/>
  <c r="Q3" i="1" s="1"/>
</calcChain>
</file>

<file path=xl/sharedStrings.xml><?xml version="1.0" encoding="utf-8"?>
<sst xmlns="http://schemas.openxmlformats.org/spreadsheetml/2006/main" count="126" uniqueCount="72">
  <si>
    <t>Datum</t>
  </si>
  <si>
    <t>Match</t>
  </si>
  <si>
    <t>Sport</t>
  </si>
  <si>
    <t>Lag</t>
  </si>
  <si>
    <t>Bookmaker</t>
  </si>
  <si>
    <t>Odds</t>
  </si>
  <si>
    <t>Rättvisa odds</t>
  </si>
  <si>
    <t>Edge %</t>
  </si>
  <si>
    <t>Units</t>
  </si>
  <si>
    <t>Insats (kr)</t>
  </si>
  <si>
    <t>Resultat</t>
  </si>
  <si>
    <t>Vinst/Förlust</t>
  </si>
  <si>
    <t>startkapital</t>
  </si>
  <si>
    <t>England vs New Zealand</t>
  </si>
  <si>
    <t>Cricket</t>
  </si>
  <si>
    <t>Draw</t>
  </si>
  <si>
    <t>Unibet (SE)</t>
  </si>
  <si>
    <t>total P&amp;L</t>
  </si>
  <si>
    <t>Spain vs Cape Verde</t>
  </si>
  <si>
    <t>Fotbolls VM</t>
  </si>
  <si>
    <t>w</t>
  </si>
  <si>
    <t>nuvarande Bankroll</t>
  </si>
  <si>
    <t>Iraq vs Norway</t>
  </si>
  <si>
    <t>Iraq</t>
  </si>
  <si>
    <t>Portugal vs DR Congo</t>
  </si>
  <si>
    <t>DR Congo</t>
  </si>
  <si>
    <t>England vs Croatia</t>
  </si>
  <si>
    <t>Croatia</t>
  </si>
  <si>
    <t>Canada vs Qatar</t>
  </si>
  <si>
    <t>Qatar</t>
  </si>
  <si>
    <t>USA vs Australia</t>
  </si>
  <si>
    <t>Australia</t>
  </si>
  <si>
    <t>Brazil vs Haiti</t>
  </si>
  <si>
    <t>Haiti</t>
  </si>
  <si>
    <t>Netherlands vs Sweden</t>
  </si>
  <si>
    <t>Sweden</t>
  </si>
  <si>
    <t>Spain vs Saudi Arabia</t>
  </si>
  <si>
    <t>Saudi Arabia</t>
  </si>
  <si>
    <t>Belgium vs Iran</t>
  </si>
  <si>
    <t>Iran</t>
  </si>
  <si>
    <t>Uruguay vs Cape Verde</t>
  </si>
  <si>
    <t>Cape Verde</t>
  </si>
  <si>
    <t>New Zealand vs Egypt</t>
  </si>
  <si>
    <t>New Zealand</t>
  </si>
  <si>
    <t>France vs Iraq</t>
  </si>
  <si>
    <t>Portugal vs Uzbekistan</t>
  </si>
  <si>
    <t>Uzbekistan</t>
  </si>
  <si>
    <t>Bosnia &amp; Herzegovina vs Qatar</t>
  </si>
  <si>
    <t>Scotland vs Brazil</t>
  </si>
  <si>
    <t>Scotland</t>
  </si>
  <si>
    <t>South Africa vs South Korea</t>
  </si>
  <si>
    <t>South Africa</t>
  </si>
  <si>
    <t>Curaçao vs Ivory Coast</t>
  </si>
  <si>
    <t>Curaçao</t>
  </si>
  <si>
    <t>Ecuador vs Germany</t>
  </si>
  <si>
    <t>Ecuador</t>
  </si>
  <si>
    <t>Japan vs Sweden</t>
  </si>
  <si>
    <t>Panama vs England</t>
  </si>
  <si>
    <t>Panama</t>
  </si>
  <si>
    <t>Bohemians vs Dundalk</t>
  </si>
  <si>
    <t xml:space="preserve">Fotboll </t>
  </si>
  <si>
    <t>Dundalk</t>
  </si>
  <si>
    <t>2026-06-15</t>
  </si>
  <si>
    <t>IFK Norrkoping vs Varbergs BoIS</t>
  </si>
  <si>
    <t>Fotboll</t>
  </si>
  <si>
    <t>Varbergs BoIS</t>
  </si>
  <si>
    <t>l</t>
  </si>
  <si>
    <t>Terence Atmane vs Martin Landaluce</t>
  </si>
  <si>
    <t>Tennis</t>
  </si>
  <si>
    <t>Terence Atmane</t>
  </si>
  <si>
    <t>Botic van de Zandschulp vs Harry Wendelken</t>
  </si>
  <si>
    <t>Harry Wendelken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</si>
</sst>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imonsayadi/Desktop/oddisy/bets.xlsx" TargetMode="External"/><Relationship Id="rId1" Type="http://schemas.openxmlformats.org/officeDocument/2006/relationships/externalLinkPath" Target="b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ts"/>
    </sheetNames>
    <sheetDataSet>
      <sheetData sheetId="0">
        <row r="2">
          <cell r="M2" t="str">
            <v>w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abSelected="1" topLeftCell="B1" workbookViewId="0">
      <selection activeCell="G3" sqref="G3"/>
    </sheetView>
  </sheetViews>
  <sheetFormatPr baseColWidth="10" defaultColWidth="8.83203125" defaultRowHeight="15" x14ac:dyDescent="0.2"/>
  <cols>
    <col min="1" max="1" width="12" customWidth="1"/>
    <col min="2" max="3" width="35" customWidth="1"/>
    <col min="4" max="4" width="20" customWidth="1"/>
    <col min="5" max="5" width="15" customWidth="1"/>
    <col min="6" max="6" width="10" customWidth="1"/>
    <col min="7" max="7" width="15" customWidth="1"/>
    <col min="8" max="9" width="10" customWidth="1"/>
    <col min="10" max="10" width="12" customWidth="1"/>
    <col min="11" max="11" width="10" customWidth="1"/>
    <col min="12" max="12" width="15" customWidth="1"/>
    <col min="15" max="15" width="9.6640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O1" t="s">
        <v>12</v>
      </c>
      <c r="P1">
        <v>1000</v>
      </c>
    </row>
    <row r="2" spans="1:17" x14ac:dyDescent="0.2">
      <c r="A2" s="1">
        <v>46190</v>
      </c>
      <c r="B2" t="s">
        <v>13</v>
      </c>
      <c r="C2" t="s">
        <v>14</v>
      </c>
      <c r="D2" t="s">
        <v>15</v>
      </c>
      <c r="E2" t="s">
        <v>16</v>
      </c>
      <c r="F2">
        <v>8.5</v>
      </c>
      <c r="G2">
        <v>7.85</v>
      </c>
      <c r="H2">
        <v>8.3000000000000007</v>
      </c>
      <c r="I2">
        <v>0.6</v>
      </c>
      <c r="J2">
        <v>20</v>
      </c>
      <c r="L2" t="str">
        <f>[1]Bets!$M$2</f>
        <v>w</v>
      </c>
      <c r="O2" t="s">
        <v>17</v>
      </c>
      <c r="P2">
        <f>SUM(L:L)</f>
        <v>287.60000000000002</v>
      </c>
    </row>
    <row r="3" spans="1:17" x14ac:dyDescent="0.2">
      <c r="A3" s="1">
        <v>46188</v>
      </c>
      <c r="B3" t="s">
        <v>18</v>
      </c>
      <c r="C3" t="s">
        <v>19</v>
      </c>
      <c r="D3" t="s">
        <v>15</v>
      </c>
      <c r="E3" t="s">
        <v>16</v>
      </c>
      <c r="F3">
        <v>16</v>
      </c>
      <c r="G3">
        <v>14.35</v>
      </c>
      <c r="H3">
        <v>11.5</v>
      </c>
      <c r="I3">
        <v>0.4</v>
      </c>
      <c r="J3">
        <v>20</v>
      </c>
      <c r="K3" t="s">
        <v>20</v>
      </c>
      <c r="L3">
        <f t="shared" ref="L3:L27" si="0">IF(K3="W",(F3-1)*J3,IF(K3="L",-J3,""))</f>
        <v>300</v>
      </c>
      <c r="O3" t="s">
        <v>21</v>
      </c>
      <c r="Q3">
        <f>P1 + P2</f>
        <v>1287.5999999999999</v>
      </c>
    </row>
    <row r="4" spans="1:17" x14ac:dyDescent="0.2">
      <c r="A4" s="1">
        <v>46189</v>
      </c>
      <c r="B4" t="s">
        <v>22</v>
      </c>
      <c r="C4" t="s">
        <v>19</v>
      </c>
      <c r="D4" t="s">
        <v>23</v>
      </c>
      <c r="E4" t="s">
        <v>16</v>
      </c>
      <c r="F4">
        <v>18</v>
      </c>
      <c r="G4">
        <v>16.239999999999998</v>
      </c>
      <c r="H4">
        <v>10.8</v>
      </c>
      <c r="I4">
        <v>0.3</v>
      </c>
      <c r="J4">
        <v>20</v>
      </c>
      <c r="L4" t="str">
        <f t="shared" si="0"/>
        <v/>
      </c>
    </row>
    <row r="5" spans="1:17" x14ac:dyDescent="0.2">
      <c r="A5" s="1">
        <v>46190</v>
      </c>
      <c r="B5" t="s">
        <v>24</v>
      </c>
      <c r="C5" t="s">
        <v>19</v>
      </c>
      <c r="D5" t="s">
        <v>25</v>
      </c>
      <c r="E5" t="s">
        <v>16</v>
      </c>
      <c r="F5">
        <v>12.5</v>
      </c>
      <c r="G5">
        <v>11.89</v>
      </c>
      <c r="H5">
        <v>5.0999999999999996</v>
      </c>
      <c r="I5">
        <v>0.2</v>
      </c>
      <c r="J5">
        <v>20</v>
      </c>
      <c r="L5" t="str">
        <f t="shared" si="0"/>
        <v/>
      </c>
    </row>
    <row r="6" spans="1:17" x14ac:dyDescent="0.2">
      <c r="A6" s="1">
        <v>46190</v>
      </c>
      <c r="B6" t="s">
        <v>26</v>
      </c>
      <c r="C6" t="s">
        <v>19</v>
      </c>
      <c r="D6" t="s">
        <v>27</v>
      </c>
      <c r="E6" t="s">
        <v>16</v>
      </c>
      <c r="F6">
        <v>5.5</v>
      </c>
      <c r="G6">
        <v>5.13</v>
      </c>
      <c r="H6">
        <v>7.2</v>
      </c>
      <c r="I6">
        <v>0.8</v>
      </c>
      <c r="J6">
        <v>20</v>
      </c>
      <c r="L6" t="str">
        <f t="shared" si="0"/>
        <v/>
      </c>
    </row>
    <row r="7" spans="1:17" x14ac:dyDescent="0.2">
      <c r="A7" s="1">
        <v>46191</v>
      </c>
      <c r="B7" t="s">
        <v>28</v>
      </c>
      <c r="C7" t="s">
        <v>19</v>
      </c>
      <c r="D7" t="s">
        <v>29</v>
      </c>
      <c r="E7" t="s">
        <v>16</v>
      </c>
      <c r="F7">
        <v>14</v>
      </c>
      <c r="G7">
        <v>12.03</v>
      </c>
      <c r="H7">
        <v>16.399999999999999</v>
      </c>
      <c r="I7">
        <v>0.6</v>
      </c>
      <c r="J7">
        <v>20</v>
      </c>
      <c r="L7" t="str">
        <f t="shared" si="0"/>
        <v/>
      </c>
    </row>
    <row r="8" spans="1:17" x14ac:dyDescent="0.2">
      <c r="A8" s="1">
        <v>46192</v>
      </c>
      <c r="B8" t="s">
        <v>30</v>
      </c>
      <c r="C8" t="s">
        <v>19</v>
      </c>
      <c r="D8" t="s">
        <v>31</v>
      </c>
      <c r="E8" t="s">
        <v>16</v>
      </c>
      <c r="F8">
        <v>5.75</v>
      </c>
      <c r="G8">
        <v>5.36</v>
      </c>
      <c r="H8">
        <v>7.2</v>
      </c>
      <c r="I8">
        <v>0.8</v>
      </c>
      <c r="J8">
        <v>20</v>
      </c>
      <c r="L8" t="str">
        <f t="shared" si="0"/>
        <v/>
      </c>
    </row>
    <row r="9" spans="1:17" x14ac:dyDescent="0.2">
      <c r="A9" s="1">
        <v>46192</v>
      </c>
      <c r="B9" t="s">
        <v>32</v>
      </c>
      <c r="C9" t="s">
        <v>19</v>
      </c>
      <c r="D9" t="s">
        <v>33</v>
      </c>
      <c r="E9" t="s">
        <v>16</v>
      </c>
      <c r="F9">
        <v>26</v>
      </c>
      <c r="G9">
        <v>23.01</v>
      </c>
      <c r="H9">
        <v>13</v>
      </c>
      <c r="I9">
        <v>0.3</v>
      </c>
      <c r="J9">
        <v>20</v>
      </c>
      <c r="L9" t="str">
        <f t="shared" si="0"/>
        <v/>
      </c>
    </row>
    <row r="10" spans="1:17" x14ac:dyDescent="0.2">
      <c r="A10" s="1">
        <v>46193</v>
      </c>
      <c r="B10" t="s">
        <v>34</v>
      </c>
      <c r="C10" t="s">
        <v>19</v>
      </c>
      <c r="D10" t="s">
        <v>35</v>
      </c>
      <c r="E10" t="s">
        <v>16</v>
      </c>
      <c r="F10">
        <v>5.3</v>
      </c>
      <c r="G10">
        <v>4.99</v>
      </c>
      <c r="H10">
        <v>6.3</v>
      </c>
      <c r="I10">
        <v>0.7</v>
      </c>
      <c r="J10">
        <v>20</v>
      </c>
      <c r="L10" t="str">
        <f t="shared" si="0"/>
        <v/>
      </c>
    </row>
    <row r="11" spans="1:17" x14ac:dyDescent="0.2">
      <c r="A11" s="1">
        <v>46194</v>
      </c>
      <c r="B11" t="s">
        <v>36</v>
      </c>
      <c r="C11" t="s">
        <v>19</v>
      </c>
      <c r="D11" t="s">
        <v>37</v>
      </c>
      <c r="E11" t="s">
        <v>16</v>
      </c>
      <c r="F11">
        <v>34</v>
      </c>
      <c r="G11">
        <v>22.15</v>
      </c>
      <c r="H11">
        <v>53.5</v>
      </c>
      <c r="I11">
        <v>0.8</v>
      </c>
      <c r="J11">
        <v>20</v>
      </c>
      <c r="L11" t="str">
        <f t="shared" si="0"/>
        <v/>
      </c>
    </row>
    <row r="12" spans="1:17" x14ac:dyDescent="0.2">
      <c r="A12" s="1">
        <v>46194</v>
      </c>
      <c r="B12" t="s">
        <v>38</v>
      </c>
      <c r="C12" t="s">
        <v>19</v>
      </c>
      <c r="D12" t="s">
        <v>39</v>
      </c>
      <c r="E12" t="s">
        <v>16</v>
      </c>
      <c r="F12">
        <v>9.5</v>
      </c>
      <c r="G12">
        <v>8.49</v>
      </c>
      <c r="H12">
        <v>11.9</v>
      </c>
      <c r="I12">
        <v>0.7</v>
      </c>
      <c r="J12">
        <v>20</v>
      </c>
      <c r="L12" t="str">
        <f t="shared" si="0"/>
        <v/>
      </c>
    </row>
    <row r="13" spans="1:17" x14ac:dyDescent="0.2">
      <c r="A13" s="1">
        <v>46194</v>
      </c>
      <c r="B13" t="s">
        <v>40</v>
      </c>
      <c r="C13" t="s">
        <v>19</v>
      </c>
      <c r="D13" t="s">
        <v>41</v>
      </c>
      <c r="E13" t="s">
        <v>16</v>
      </c>
      <c r="F13">
        <v>8.5</v>
      </c>
      <c r="G13">
        <v>7.92</v>
      </c>
      <c r="H13">
        <v>7.4</v>
      </c>
      <c r="I13">
        <v>0.5</v>
      </c>
      <c r="J13">
        <v>20</v>
      </c>
      <c r="L13" t="str">
        <f t="shared" si="0"/>
        <v/>
      </c>
    </row>
    <row r="14" spans="1:17" x14ac:dyDescent="0.2">
      <c r="A14" s="1">
        <v>46194</v>
      </c>
      <c r="B14" t="s">
        <v>42</v>
      </c>
      <c r="C14" t="s">
        <v>19</v>
      </c>
      <c r="D14" t="s">
        <v>43</v>
      </c>
      <c r="E14" t="s">
        <v>16</v>
      </c>
      <c r="F14">
        <v>5.4</v>
      </c>
      <c r="G14">
        <v>4.66</v>
      </c>
      <c r="H14">
        <v>15.9</v>
      </c>
      <c r="I14">
        <v>1.8</v>
      </c>
      <c r="J14">
        <v>20</v>
      </c>
      <c r="L14" t="str">
        <f t="shared" si="0"/>
        <v/>
      </c>
    </row>
    <row r="15" spans="1:17" x14ac:dyDescent="0.2">
      <c r="A15" s="1">
        <v>46195</v>
      </c>
      <c r="B15" t="s">
        <v>44</v>
      </c>
      <c r="C15" t="s">
        <v>19</v>
      </c>
      <c r="D15" t="s">
        <v>15</v>
      </c>
      <c r="E15" t="s">
        <v>16</v>
      </c>
      <c r="F15">
        <v>10.5</v>
      </c>
      <c r="G15">
        <v>8.74</v>
      </c>
      <c r="H15">
        <v>20.2</v>
      </c>
      <c r="I15">
        <v>1.1000000000000001</v>
      </c>
      <c r="J15">
        <v>20</v>
      </c>
      <c r="L15" t="str">
        <f t="shared" si="0"/>
        <v/>
      </c>
    </row>
    <row r="16" spans="1:17" x14ac:dyDescent="0.2">
      <c r="A16" s="1">
        <v>46196</v>
      </c>
      <c r="B16" t="s">
        <v>45</v>
      </c>
      <c r="C16" t="s">
        <v>19</v>
      </c>
      <c r="D16" t="s">
        <v>46</v>
      </c>
      <c r="E16" t="s">
        <v>16</v>
      </c>
      <c r="F16">
        <v>13</v>
      </c>
      <c r="G16">
        <v>12.29</v>
      </c>
      <c r="H16">
        <v>5.8</v>
      </c>
      <c r="I16">
        <v>0.2</v>
      </c>
      <c r="J16">
        <v>20</v>
      </c>
      <c r="L16" t="str">
        <f t="shared" si="0"/>
        <v/>
      </c>
    </row>
    <row r="17" spans="1:12" x14ac:dyDescent="0.2">
      <c r="A17" s="1">
        <v>46197</v>
      </c>
      <c r="B17" t="s">
        <v>47</v>
      </c>
      <c r="C17" t="s">
        <v>19</v>
      </c>
      <c r="D17" t="s">
        <v>29</v>
      </c>
      <c r="E17" t="s">
        <v>16</v>
      </c>
      <c r="F17">
        <v>7</v>
      </c>
      <c r="G17">
        <v>6.04</v>
      </c>
      <c r="H17">
        <v>15.9</v>
      </c>
      <c r="I17">
        <v>1.3</v>
      </c>
      <c r="J17">
        <v>20</v>
      </c>
      <c r="L17" t="str">
        <f t="shared" si="0"/>
        <v/>
      </c>
    </row>
    <row r="18" spans="1:12" x14ac:dyDescent="0.2">
      <c r="A18" s="1">
        <v>46197</v>
      </c>
      <c r="B18" t="s">
        <v>48</v>
      </c>
      <c r="C18" t="s">
        <v>19</v>
      </c>
      <c r="D18" t="s">
        <v>49</v>
      </c>
      <c r="E18" t="s">
        <v>16</v>
      </c>
      <c r="F18">
        <v>7</v>
      </c>
      <c r="G18">
        <v>6.15</v>
      </c>
      <c r="H18">
        <v>13.8</v>
      </c>
      <c r="I18">
        <v>1.1000000000000001</v>
      </c>
      <c r="J18">
        <v>20</v>
      </c>
      <c r="L18" t="str">
        <f t="shared" si="0"/>
        <v/>
      </c>
    </row>
    <row r="19" spans="1:12" x14ac:dyDescent="0.2">
      <c r="A19" s="1">
        <v>46197</v>
      </c>
      <c r="B19" t="s">
        <v>50</v>
      </c>
      <c r="C19" t="s">
        <v>19</v>
      </c>
      <c r="D19" t="s">
        <v>51</v>
      </c>
      <c r="E19" t="s">
        <v>16</v>
      </c>
      <c r="F19">
        <v>6.25</v>
      </c>
      <c r="G19">
        <v>5.88</v>
      </c>
      <c r="H19">
        <v>6.2</v>
      </c>
      <c r="I19">
        <v>0.6</v>
      </c>
      <c r="J19">
        <v>20</v>
      </c>
      <c r="L19" t="str">
        <f t="shared" si="0"/>
        <v/>
      </c>
    </row>
    <row r="20" spans="1:12" x14ac:dyDescent="0.2">
      <c r="A20" s="1">
        <v>46198</v>
      </c>
      <c r="B20" t="s">
        <v>52</v>
      </c>
      <c r="C20" t="s">
        <v>19</v>
      </c>
      <c r="D20" t="s">
        <v>53</v>
      </c>
      <c r="E20" t="s">
        <v>16</v>
      </c>
      <c r="F20">
        <v>18</v>
      </c>
      <c r="G20">
        <v>15.77</v>
      </c>
      <c r="H20">
        <v>14.1</v>
      </c>
      <c r="I20">
        <v>0.4</v>
      </c>
      <c r="J20">
        <v>20</v>
      </c>
      <c r="L20" t="str">
        <f t="shared" si="0"/>
        <v/>
      </c>
    </row>
    <row r="21" spans="1:12" x14ac:dyDescent="0.2">
      <c r="A21" s="1">
        <v>46198</v>
      </c>
      <c r="B21" t="s">
        <v>54</v>
      </c>
      <c r="C21" t="s">
        <v>19</v>
      </c>
      <c r="D21" t="s">
        <v>55</v>
      </c>
      <c r="E21" t="s">
        <v>16</v>
      </c>
      <c r="F21">
        <v>5</v>
      </c>
      <c r="G21">
        <v>4.7300000000000004</v>
      </c>
      <c r="H21">
        <v>5.7</v>
      </c>
      <c r="I21">
        <v>0.7</v>
      </c>
      <c r="J21">
        <v>20</v>
      </c>
      <c r="L21" t="str">
        <f t="shared" si="0"/>
        <v/>
      </c>
    </row>
    <row r="22" spans="1:12" x14ac:dyDescent="0.2">
      <c r="A22" s="1">
        <v>46198</v>
      </c>
      <c r="B22" t="s">
        <v>56</v>
      </c>
      <c r="C22" t="s">
        <v>19</v>
      </c>
      <c r="D22" t="s">
        <v>35</v>
      </c>
      <c r="E22" t="s">
        <v>16</v>
      </c>
      <c r="F22">
        <v>3.75</v>
      </c>
      <c r="G22">
        <v>3.51</v>
      </c>
      <c r="H22">
        <v>6.8</v>
      </c>
      <c r="I22">
        <v>1.2</v>
      </c>
      <c r="J22">
        <v>20</v>
      </c>
      <c r="L22" t="str">
        <f t="shared" si="0"/>
        <v/>
      </c>
    </row>
    <row r="23" spans="1:12" x14ac:dyDescent="0.2">
      <c r="A23" s="1">
        <v>46200</v>
      </c>
      <c r="B23" t="s">
        <v>57</v>
      </c>
      <c r="C23" t="s">
        <v>19</v>
      </c>
      <c r="D23" t="s">
        <v>58</v>
      </c>
      <c r="E23" t="s">
        <v>16</v>
      </c>
      <c r="F23">
        <v>11.5</v>
      </c>
      <c r="G23">
        <v>8.64</v>
      </c>
      <c r="H23">
        <v>33.1</v>
      </c>
      <c r="I23">
        <v>1.6</v>
      </c>
      <c r="J23">
        <v>20</v>
      </c>
      <c r="L23" t="str">
        <f t="shared" si="0"/>
        <v/>
      </c>
    </row>
    <row r="24" spans="1:12" x14ac:dyDescent="0.2">
      <c r="A24" s="1">
        <v>46189</v>
      </c>
      <c r="B24" t="s">
        <v>59</v>
      </c>
      <c r="C24" t="s">
        <v>60</v>
      </c>
      <c r="D24" t="s">
        <v>61</v>
      </c>
      <c r="E24" t="s">
        <v>16</v>
      </c>
      <c r="F24">
        <v>4.2</v>
      </c>
      <c r="G24">
        <v>3.9</v>
      </c>
      <c r="H24">
        <v>7.6</v>
      </c>
      <c r="I24">
        <v>1.2</v>
      </c>
      <c r="J24">
        <v>20</v>
      </c>
      <c r="L24" t="str">
        <f t="shared" si="0"/>
        <v/>
      </c>
    </row>
    <row r="25" spans="1:12" x14ac:dyDescent="0.2">
      <c r="A25" s="1" t="s">
        <v>62</v>
      </c>
      <c r="B25" t="s">
        <v>63</v>
      </c>
      <c r="C25" t="s">
        <v>64</v>
      </c>
      <c r="D25" t="s">
        <v>65</v>
      </c>
      <c r="E25" t="s">
        <v>16</v>
      </c>
      <c r="F25">
        <v>3.5</v>
      </c>
      <c r="G25">
        <v>3.27</v>
      </c>
      <c r="H25">
        <v>7</v>
      </c>
      <c r="I25">
        <v>1.4</v>
      </c>
      <c r="J25">
        <v>20</v>
      </c>
      <c r="K25" t="s">
        <v>66</v>
      </c>
      <c r="L25">
        <f t="shared" si="0"/>
        <v>-20</v>
      </c>
    </row>
    <row r="26" spans="1:12" x14ac:dyDescent="0.2">
      <c r="A26" s="1" t="s">
        <v>62</v>
      </c>
      <c r="B26" t="s">
        <v>67</v>
      </c>
      <c r="C26" t="s">
        <v>68</v>
      </c>
      <c r="D26" t="s">
        <v>69</v>
      </c>
      <c r="E26" t="s">
        <v>16</v>
      </c>
      <c r="F26">
        <v>2.38</v>
      </c>
      <c r="G26">
        <v>2.11</v>
      </c>
      <c r="H26">
        <v>12.8</v>
      </c>
      <c r="I26">
        <v>4.7</v>
      </c>
      <c r="J26">
        <v>20</v>
      </c>
      <c r="K26" t="s">
        <v>20</v>
      </c>
      <c r="L26">
        <f t="shared" si="0"/>
        <v>27.599999999999998</v>
      </c>
    </row>
    <row r="27" spans="1:12" x14ac:dyDescent="0.2">
      <c r="A27" s="1" t="s">
        <v>62</v>
      </c>
      <c r="B27" t="s">
        <v>70</v>
      </c>
      <c r="C27" t="s">
        <v>68</v>
      </c>
      <c r="D27" t="s">
        <v>71</v>
      </c>
      <c r="E27" t="s">
        <v>16</v>
      </c>
      <c r="F27">
        <v>3.25</v>
      </c>
      <c r="G27">
        <v>2.93</v>
      </c>
      <c r="H27">
        <v>10.8</v>
      </c>
      <c r="I27">
        <v>2.4</v>
      </c>
      <c r="J27">
        <v>20</v>
      </c>
      <c r="K27" t="s">
        <v>66</v>
      </c>
      <c r="L27">
        <f t="shared" si="0"/>
        <v>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Sayadi</cp:lastModifiedBy>
  <dcterms:created xsi:type="dcterms:W3CDTF">2026-06-15T11:48:28Z</dcterms:created>
  <dcterms:modified xsi:type="dcterms:W3CDTF">2026-06-21T20:27:21Z</dcterms:modified>
</cp:coreProperties>
</file>