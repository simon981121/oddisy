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simonsayadi/Dev/oddisy/"/>
    </mc:Choice>
  </mc:AlternateContent>
  <xr:revisionPtr revIDLastSave="0" documentId="11_76C5AD41103217850378C791DF2E15DD78FACF24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B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7" i="1" l="1"/>
  <c r="O117" i="1"/>
  <c r="P116" i="1"/>
  <c r="O116" i="1"/>
  <c r="P115" i="1"/>
  <c r="O115" i="1"/>
  <c r="P114" i="1"/>
  <c r="O114" i="1"/>
  <c r="P112" i="1"/>
  <c r="O112" i="1"/>
  <c r="P110" i="1"/>
  <c r="O110" i="1"/>
  <c r="P109" i="1"/>
  <c r="O109" i="1"/>
  <c r="P108" i="1"/>
  <c r="O108" i="1"/>
  <c r="P107" i="1"/>
  <c r="O107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2" i="1"/>
  <c r="O82" i="1"/>
  <c r="P81" i="1"/>
  <c r="O81" i="1"/>
  <c r="P80" i="1"/>
  <c r="O80" i="1"/>
  <c r="P79" i="1"/>
  <c r="O79" i="1"/>
  <c r="P77" i="1"/>
  <c r="O77" i="1"/>
  <c r="P76" i="1"/>
  <c r="O76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2" i="1"/>
  <c r="O62" i="1"/>
  <c r="P60" i="1"/>
  <c r="O60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8" i="1"/>
  <c r="O38" i="1"/>
  <c r="P37" i="1"/>
  <c r="O37" i="1"/>
  <c r="P36" i="1"/>
  <c r="O36" i="1"/>
  <c r="P35" i="1"/>
  <c r="O35" i="1"/>
  <c r="P34" i="1"/>
  <c r="O34" i="1"/>
  <c r="P32" i="1"/>
  <c r="O32" i="1"/>
  <c r="P31" i="1"/>
  <c r="O31" i="1"/>
  <c r="P30" i="1"/>
  <c r="O30" i="1"/>
  <c r="P29" i="1"/>
  <c r="O29" i="1"/>
  <c r="P28" i="1"/>
  <c r="O28" i="1"/>
  <c r="P25" i="1"/>
  <c r="O25" i="1"/>
  <c r="P24" i="1"/>
  <c r="O24" i="1"/>
  <c r="P23" i="1"/>
  <c r="O23" i="1"/>
  <c r="P22" i="1"/>
  <c r="O22" i="1"/>
  <c r="P21" i="1"/>
  <c r="O21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9" i="1"/>
  <c r="O9" i="1"/>
  <c r="P8" i="1"/>
  <c r="O8" i="1"/>
  <c r="S7" i="1"/>
  <c r="P7" i="1"/>
  <c r="O7" i="1"/>
  <c r="S6" i="1"/>
  <c r="P6" i="1"/>
  <c r="O6" i="1"/>
  <c r="P5" i="1"/>
  <c r="O5" i="1"/>
  <c r="S4" i="1"/>
  <c r="P4" i="1"/>
  <c r="O4" i="1"/>
  <c r="S3" i="1"/>
  <c r="P3" i="1"/>
  <c r="O3" i="1"/>
</calcChain>
</file>

<file path=xl/sharedStrings.xml><?xml version="1.0" encoding="utf-8"?>
<sst xmlns="http://schemas.openxmlformats.org/spreadsheetml/2006/main" count="774" uniqueCount="256">
  <si>
    <t>Datum loggad</t>
  </si>
  <si>
    <t>Matchdatum</t>
  </si>
  <si>
    <t>Sport</t>
  </si>
  <si>
    <t>Match</t>
  </si>
  <si>
    <t>Lag</t>
  </si>
  <si>
    <t>Marknad</t>
  </si>
  <si>
    <t>Bookmaker</t>
  </si>
  <si>
    <t>Odds</t>
  </si>
  <si>
    <t>Rättvisa odds</t>
  </si>
  <si>
    <t>Edge %</t>
  </si>
  <si>
    <t>Units</t>
  </si>
  <si>
    <t>Insats Flat (kr)</t>
  </si>
  <si>
    <t>Insats Kelly (kr)</t>
  </si>
  <si>
    <t>Resultat</t>
  </si>
  <si>
    <t>V/F Flat</t>
  </si>
  <si>
    <t>V/F Kelly</t>
  </si>
  <si>
    <t>startkapital</t>
  </si>
  <si>
    <t>2026-06-29</t>
  </si>
  <si>
    <t>2026-07-18</t>
  </si>
  <si>
    <t>soccer_brazil_campeonato</t>
  </si>
  <si>
    <t>Fluminense vs Bragantino-SP</t>
  </si>
  <si>
    <t>Bragantino-SP</t>
  </si>
  <si>
    <t>h2h</t>
  </si>
  <si>
    <t>Unibet (SE)</t>
  </si>
  <si>
    <t>Profit Flat</t>
  </si>
  <si>
    <t>2026-06-30</t>
  </si>
  <si>
    <t>soccer_brazil_serie_b</t>
  </si>
  <si>
    <t>Botafogo vs Clube de Regatas Brasil</t>
  </si>
  <si>
    <t>Draw</t>
  </si>
  <si>
    <t>l</t>
  </si>
  <si>
    <t>Bankroll Flat</t>
  </si>
  <si>
    <t>2026-07-01</t>
  </si>
  <si>
    <t>soccer_fifa_world_cup</t>
  </si>
  <si>
    <t>England vs DR Congo</t>
  </si>
  <si>
    <t>DR Congo</t>
  </si>
  <si>
    <t>2026-07-03</t>
  </si>
  <si>
    <t>soccer_sweden_allsvenskan</t>
  </si>
  <si>
    <t>IK Sirius vs Mjällby AIF</t>
  </si>
  <si>
    <t>IK Sirius</t>
  </si>
  <si>
    <t>w</t>
  </si>
  <si>
    <t>Profit Kelly</t>
  </si>
  <si>
    <t>2026-07-05</t>
  </si>
  <si>
    <t>IF Elfsborg vs Hammarby IF</t>
  </si>
  <si>
    <t>IF Elfsborg</t>
  </si>
  <si>
    <t>Bankroll Kelly</t>
  </si>
  <si>
    <t>2026-07-06</t>
  </si>
  <si>
    <t>IF Brommapojkarna vs GAIS</t>
  </si>
  <si>
    <t>GAIS</t>
  </si>
  <si>
    <t>IFK Goteborg vs AIK</t>
  </si>
  <si>
    <t>IFK Goteborg</t>
  </si>
  <si>
    <t>tennis_atp_wimbledon</t>
  </si>
  <si>
    <t>Denis Shapovalov vs Pablo Carreno Busta</t>
  </si>
  <si>
    <t>Denis Shapovalov</t>
  </si>
  <si>
    <t>Emilio Nava vs Ignacio Buse</t>
  </si>
  <si>
    <t>Ignacio Buse</t>
  </si>
  <si>
    <t>Dalibor Svrcina vs Learner Tien</t>
  </si>
  <si>
    <t>Dalibor Svrcina</t>
  </si>
  <si>
    <t>Marco Trungelliti vs Martin Damm Jr.</t>
  </si>
  <si>
    <t>Martin Damm Jr.</t>
  </si>
  <si>
    <t>Andrey Rublev vs Roman Safiullin</t>
  </si>
  <si>
    <t>Roman Safiullin</t>
  </si>
  <si>
    <t>Camilo Ugo Carabelli vs Daniel Merida Aguilar</t>
  </si>
  <si>
    <t>Daniel Merida Aguilar</t>
  </si>
  <si>
    <t>Michael Zheng vs Cameron Norrie</t>
  </si>
  <si>
    <t>Michael Zheng</t>
  </si>
  <si>
    <t>tennis_wta_wimbledon</t>
  </si>
  <si>
    <t>Ann Li vs Zeynep Sonmez</t>
  </si>
  <si>
    <t>Zeynep Sonmez</t>
  </si>
  <si>
    <t>Xinyu Wang vs Elisabetta Cocciaretto</t>
  </si>
  <si>
    <t>Xinyu Wang</t>
  </si>
  <si>
    <t>Nautico PE vs Juventude</t>
  </si>
  <si>
    <t>Juventude</t>
  </si>
  <si>
    <t>Switzerland vs Algeria</t>
  </si>
  <si>
    <t>Algeria</t>
  </si>
  <si>
    <t>2026-07-04</t>
  </si>
  <si>
    <t>Colombia vs Ghana</t>
  </si>
  <si>
    <t>Ghana</t>
  </si>
  <si>
    <t>Degerfors IF vs Malmo FF</t>
  </si>
  <si>
    <t>Halmstads BK vs Västerås SK</t>
  </si>
  <si>
    <t>Västerås SK</t>
  </si>
  <si>
    <t>baseball_kbo</t>
  </si>
  <si>
    <t>Kia Tigers vs SSG Landers</t>
  </si>
  <si>
    <t>Kia Tigers</t>
  </si>
  <si>
    <t>baseball_mlb</t>
  </si>
  <si>
    <t>Boston Red Sox vs Washington Nationals</t>
  </si>
  <si>
    <t>Washington Nationals</t>
  </si>
  <si>
    <t>baseball_npb</t>
  </si>
  <si>
    <t>Yomiuri Giants vs Tokyo Yakult Swallows</t>
  </si>
  <si>
    <t>Tokyo Yakult Swallows</t>
  </si>
  <si>
    <t>rugbyleague_nrl</t>
  </si>
  <si>
    <t>Penrith Panthers vs South Sydney Rabbitohs</t>
  </si>
  <si>
    <t>Penrith Panthers</t>
  </si>
  <si>
    <t>St George Illawarra Dragons vs Wests Tigers</t>
  </si>
  <si>
    <t>St George Illawarra Dragons</t>
  </si>
  <si>
    <t>2026-07-02</t>
  </si>
  <si>
    <t>Portugal vs Croatia</t>
  </si>
  <si>
    <t>Croatia</t>
  </si>
  <si>
    <t>Marton Fucsovics vs Learner Tien</t>
  </si>
  <si>
    <t>Marton Fucsovics</t>
  </si>
  <si>
    <t>Alycia Parks vs Mananchaya Sawangkaew</t>
  </si>
  <si>
    <t>Mananchaya Sawangkaew</t>
  </si>
  <si>
    <t>Janice Tjen vs Daria Kasatkina</t>
  </si>
  <si>
    <t>Janice Tjen</t>
  </si>
  <si>
    <t>SSG Landers</t>
  </si>
  <si>
    <t>Doosan Bears vs Lotte Giants</t>
  </si>
  <si>
    <t>Doosan Bears</t>
  </si>
  <si>
    <t>Hanshin Tigers vs Chunichi Dragons</t>
  </si>
  <si>
    <t>Hanshin Tigers</t>
  </si>
  <si>
    <t>Canada vs Morocco</t>
  </si>
  <si>
    <t>Canada</t>
  </si>
  <si>
    <t>Degerfors IF</t>
  </si>
  <si>
    <t>Gabriel Diallo vs Lorenzo Sonego</t>
  </si>
  <si>
    <t>Gabriel Diallo</t>
  </si>
  <si>
    <t>Diana Shnaider vs Liudmila Samsonova</t>
  </si>
  <si>
    <t>Diana Shnaider</t>
  </si>
  <si>
    <t>Kalmar FF vs Örgryte IS</t>
  </si>
  <si>
    <t>Örgryte IS</t>
  </si>
  <si>
    <t>Argentina vs Cape Verde</t>
  </si>
  <si>
    <t>Cape Verde</t>
  </si>
  <si>
    <t>Washington Nationals vs Pittsburgh Pirates</t>
  </si>
  <si>
    <t>Chicago Cubs vs St. Louis Cardinals</t>
  </si>
  <si>
    <t>St. Louis Cardinals</t>
  </si>
  <si>
    <t>Kansas City Royals vs Philadelphia Phillies</t>
  </si>
  <si>
    <t>Philadelphia Phillies</t>
  </si>
  <si>
    <t>Houston Astros vs Tampa Bay Rays</t>
  </si>
  <si>
    <t>Houston Astros</t>
  </si>
  <si>
    <t>Cleveland Guardians vs Chicago White Sox</t>
  </si>
  <si>
    <t>Chicago White Sox</t>
  </si>
  <si>
    <t>BK Hacken vs Djurgardens IF</t>
  </si>
  <si>
    <t>BK Hacken</t>
  </si>
  <si>
    <t>Belinda Bencic vs Coco Gauff</t>
  </si>
  <si>
    <t>Belinda Bencic</t>
  </si>
  <si>
    <t>IF Brommapojkarna</t>
  </si>
  <si>
    <t>2026-07-07</t>
  </si>
  <si>
    <t>Naomi Osaka vs Karolina Muchova</t>
  </si>
  <si>
    <t>Naomi Osaka</t>
  </si>
  <si>
    <t>2026-07-10</t>
  </si>
  <si>
    <t>2026-07-12</t>
  </si>
  <si>
    <t>Melbourne Storm vs Gold Coast Titans</t>
  </si>
  <si>
    <t>Melbourne Storm</t>
  </si>
  <si>
    <t>Avai vs Nautico PE</t>
  </si>
  <si>
    <t>Spain vs Belgium</t>
  </si>
  <si>
    <t>Belgium</t>
  </si>
  <si>
    <t>Argentina vs Switzerland</t>
  </si>
  <si>
    <t>Switzerland</t>
  </si>
  <si>
    <t>soccer_league_of_ireland</t>
  </si>
  <si>
    <t>Waterford FC vs St Patricks Athletic</t>
  </si>
  <si>
    <t>St Patricks Athletic</t>
  </si>
  <si>
    <t>2026-07-11</t>
  </si>
  <si>
    <t>Örgryte IS vs BK Hacken</t>
  </si>
  <si>
    <t>Västerås SK vs Degerfors IF</t>
  </si>
  <si>
    <t>Hammarby IF vs Kalmar FF</t>
  </si>
  <si>
    <t>Kalmar FF</t>
  </si>
  <si>
    <t>Malmo FF vs IFK Goteborg</t>
  </si>
  <si>
    <t>IF Brommapojkarna vs IK Sirius</t>
  </si>
  <si>
    <t>2026-08-10</t>
  </si>
  <si>
    <t>Västerås SK vs Djurgardens IF</t>
  </si>
  <si>
    <t>IK Sirius vs IF Brommapojkarna</t>
  </si>
  <si>
    <t>2026-08-24</t>
  </si>
  <si>
    <t>2026-08-25</t>
  </si>
  <si>
    <t>soccer_england_efl_cup</t>
  </si>
  <si>
    <t>Plymouth Argyle vs Coventry City</t>
  </si>
  <si>
    <t>Plymouth Argyle</t>
  </si>
  <si>
    <t>soccer_germany_bundesliga_women</t>
  </si>
  <si>
    <t>FSV Mainz 05 vs Werder Bremen</t>
  </si>
  <si>
    <t>Werder Bremen</t>
  </si>
  <si>
    <t>soccer_italy_serie_a</t>
  </si>
  <si>
    <t>AS Roma vs Fiorentina</t>
  </si>
  <si>
    <t>Fiorentina</t>
  </si>
  <si>
    <t>soccer_sweden_superettan</t>
  </si>
  <si>
    <t>Östers IF vs GIF Sundsvall</t>
  </si>
  <si>
    <t>GIF Sundsvall</t>
  </si>
  <si>
    <t>2026-08-27</t>
  </si>
  <si>
    <t>2026-08-26</t>
  </si>
  <si>
    <t>St. Louis Cardinals vs Baltimore Orioles</t>
  </si>
  <si>
    <t>Baltimore Orioles</t>
  </si>
  <si>
    <t>Athletics vs Minnesota Twins</t>
  </si>
  <si>
    <t>Athletics</t>
  </si>
  <si>
    <t>2026-08-29</t>
  </si>
  <si>
    <t>soccer_argentina_primera_division</t>
  </si>
  <si>
    <t>Deportivo Riestra vs Velez Sarsfield BA</t>
  </si>
  <si>
    <t>Deportivo Riestra</t>
  </si>
  <si>
    <t>2026-08-28</t>
  </si>
  <si>
    <t>soccer_china_superleague</t>
  </si>
  <si>
    <t>Dalian Yingbo vs Beijing FC</t>
  </si>
  <si>
    <t>Dalian Yingbo</t>
  </si>
  <si>
    <t>Shenzhen Peng City FC vs Shanghai SIPG FC</t>
  </si>
  <si>
    <t>Shenzhen Peng City FC</t>
  </si>
  <si>
    <t>soccer_epl</t>
  </si>
  <si>
    <t>Crystal Palace vs Manchester City</t>
  </si>
  <si>
    <t>Crystal Palace</t>
  </si>
  <si>
    <t>soccer_france_ligue_one</t>
  </si>
  <si>
    <t>Auxerre vs Angers</t>
  </si>
  <si>
    <t>Over 2.5</t>
  </si>
  <si>
    <t>totals</t>
  </si>
  <si>
    <t>Lyon vs Le Havre</t>
  </si>
  <si>
    <t>Le Havre</t>
  </si>
  <si>
    <t>soccer_germany_bundesliga</t>
  </si>
  <si>
    <t>Elversberg vs Bayer Leverkusen</t>
  </si>
  <si>
    <t>Elversberg</t>
  </si>
  <si>
    <t>soccer_poland_ekstraklasa</t>
  </si>
  <si>
    <t>Wisła Kraków vs Wieczysta Kraków</t>
  </si>
  <si>
    <t>Wisła Kraków</t>
  </si>
  <si>
    <t>Zagłębie Lubin vs Pogoń Szczecin</t>
  </si>
  <si>
    <t>Pogoń Szczecin</t>
  </si>
  <si>
    <t>soccer_saudi_arabia_pro_league</t>
  </si>
  <si>
    <t>Al-Fayha vs Abha Club</t>
  </si>
  <si>
    <t>Abha Club</t>
  </si>
  <si>
    <t>soccer_spain_la_liga</t>
  </si>
  <si>
    <t>Real Racing Club de Santander vs Elche CF</t>
  </si>
  <si>
    <t>Real Racing Club de Santander</t>
  </si>
  <si>
    <t>2026-09-17</t>
  </si>
  <si>
    <t>2026-09-18</t>
  </si>
  <si>
    <t>Ceará vs Grêmio Novorizontino</t>
  </si>
  <si>
    <t>Grêmio Novorizontino</t>
  </si>
  <si>
    <t>2026-09-19</t>
  </si>
  <si>
    <t>Angers vs Troyes</t>
  </si>
  <si>
    <t>Troyes</t>
  </si>
  <si>
    <t>VfB Stuttgart vs Borussia Dortmund</t>
  </si>
  <si>
    <t>soccer_germany_liga3</t>
  </si>
  <si>
    <t>1. FC Saarbrücken vs SG Sonnenhof Großaspach</t>
  </si>
  <si>
    <t>SG Sonnenhof Großaspach</t>
  </si>
  <si>
    <t>AS Roma vs Inter Milan</t>
  </si>
  <si>
    <t>Derry City vs Galway United</t>
  </si>
  <si>
    <t>Galway United</t>
  </si>
  <si>
    <t>soccer_mexico_ligamx</t>
  </si>
  <si>
    <t>Atlas vs Pumas</t>
  </si>
  <si>
    <t>soccer_uefa_europa_league</t>
  </si>
  <si>
    <t>Viktoria Plzeň vs Union Saint-Gilloise</t>
  </si>
  <si>
    <t>Viktoria Plzeň</t>
  </si>
  <si>
    <t>2026-09-20</t>
  </si>
  <si>
    <t>Chunichi Dragons vs Hiroshima Toyo Carp</t>
  </si>
  <si>
    <t>Hiroshima Toyo Carp</t>
  </si>
  <si>
    <t>Hanshin Tigers vs Yokohama DeNA BayStars</t>
  </si>
  <si>
    <t>Yokohama DeNA BayStars</t>
  </si>
  <si>
    <t>soccer_austria_bundesliga</t>
  </si>
  <si>
    <t>Ried vs Wolfsberger AC</t>
  </si>
  <si>
    <t>soccer_belgium_first_div</t>
  </si>
  <si>
    <t>Club Brugge vs Genk</t>
  </si>
  <si>
    <t>Genk</t>
  </si>
  <si>
    <t>2026-09-22</t>
  </si>
  <si>
    <t>tennis_wta_singapore_open</t>
  </si>
  <si>
    <t>Barbora Krejcikova vs Anna-Lena Friedsam</t>
  </si>
  <si>
    <t>Barbora Krejcikova</t>
  </si>
  <si>
    <t>2026-10-07</t>
  </si>
  <si>
    <t>2026-10-08</t>
  </si>
  <si>
    <t>basketball_nba_preseason</t>
  </si>
  <si>
    <t>Portland Trail Blazers vs Golden State Warriors</t>
  </si>
  <si>
    <t>Golden State Warriors</t>
  </si>
  <si>
    <t>2026-10-09</t>
  </si>
  <si>
    <t>Instituto de Córdoba vs Boca Juniors</t>
  </si>
  <si>
    <t>Instituto de Córdoba</t>
  </si>
  <si>
    <t>soccer_germany_bundesliga2</t>
  </si>
  <si>
    <t>1. FC Heidenheim vs 1. FC Kaiserslautern</t>
  </si>
  <si>
    <t>Al-Kholood vs Al-Qadsiah</t>
  </si>
  <si>
    <t>Al-Kholood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</si>
</sst>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"/>
  <sheetViews>
    <sheetView tabSelected="1" topLeftCell="A94" workbookViewId="0">
      <selection activeCell="D119" sqref="D119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27.83203125" customWidth="1"/>
    <col min="4" max="4" width="37.5" customWidth="1"/>
    <col min="5" max="5" width="20" customWidth="1"/>
    <col min="6" max="6" width="10" customWidth="1"/>
    <col min="7" max="7" width="15" customWidth="1"/>
    <col min="8" max="8" width="8" customWidth="1"/>
    <col min="9" max="9" width="14" customWidth="1"/>
    <col min="10" max="11" width="8" customWidth="1"/>
    <col min="12" max="13" width="14" customWidth="1"/>
    <col min="14" max="14" width="10" customWidth="1"/>
    <col min="15" max="16" width="12" customWidth="1"/>
    <col min="17" max="17" width="16.1640625" customWidth="1"/>
    <col min="18" max="18" width="12.5" customWidth="1"/>
    <col min="19" max="19" width="10.3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>
        <v>1000</v>
      </c>
    </row>
    <row r="3" spans="1:19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4.5</v>
      </c>
      <c r="I3">
        <v>4.3600000000000003</v>
      </c>
      <c r="J3">
        <v>3.2</v>
      </c>
      <c r="K3">
        <v>0.5</v>
      </c>
      <c r="L3">
        <v>20</v>
      </c>
      <c r="M3">
        <v>5</v>
      </c>
      <c r="O3" t="str">
        <f t="shared" ref="O3:O9" si="0">IF(UPPER(N3)="W",(H3-1)*L3,IF(UPPER(N3)="L",-L3,""))</f>
        <v/>
      </c>
      <c r="P3" t="str">
        <f t="shared" ref="P3:P9" si="1">IF(UPPER(N3)="W",(H3-1)*M3,IF(UPPER(N3)="L",-M3,""))</f>
        <v/>
      </c>
      <c r="R3" t="s">
        <v>24</v>
      </c>
      <c r="S3">
        <f>SUM(O:O)</f>
        <v>184.2</v>
      </c>
    </row>
    <row r="4" spans="1:19" x14ac:dyDescent="0.2">
      <c r="A4" t="s">
        <v>17</v>
      </c>
      <c r="B4" t="s">
        <v>25</v>
      </c>
      <c r="C4" t="s">
        <v>26</v>
      </c>
      <c r="D4" t="s">
        <v>27</v>
      </c>
      <c r="E4" t="s">
        <v>28</v>
      </c>
      <c r="F4" t="s">
        <v>22</v>
      </c>
      <c r="G4" t="s">
        <v>23</v>
      </c>
      <c r="H4">
        <v>3.05</v>
      </c>
      <c r="I4">
        <v>2.83</v>
      </c>
      <c r="J4">
        <v>7.7</v>
      </c>
      <c r="K4">
        <v>1.9</v>
      </c>
      <c r="L4">
        <v>20</v>
      </c>
      <c r="M4">
        <v>19</v>
      </c>
      <c r="N4" t="s">
        <v>29</v>
      </c>
      <c r="O4">
        <f t="shared" si="0"/>
        <v>-20</v>
      </c>
      <c r="P4">
        <f t="shared" si="1"/>
        <v>-19</v>
      </c>
      <c r="R4" t="s">
        <v>30</v>
      </c>
      <c r="S4">
        <f>SUM(S1+S3)</f>
        <v>1184.2</v>
      </c>
    </row>
    <row r="5" spans="1:19" x14ac:dyDescent="0.2">
      <c r="A5" t="s">
        <v>17</v>
      </c>
      <c r="B5" t="s">
        <v>31</v>
      </c>
      <c r="C5" t="s">
        <v>32</v>
      </c>
      <c r="D5" t="s">
        <v>33</v>
      </c>
      <c r="E5" t="s">
        <v>34</v>
      </c>
      <c r="F5" t="s">
        <v>22</v>
      </c>
      <c r="G5" t="s">
        <v>23</v>
      </c>
      <c r="H5">
        <v>16</v>
      </c>
      <c r="I5">
        <v>14.49</v>
      </c>
      <c r="J5">
        <v>10.4</v>
      </c>
      <c r="K5">
        <v>0.3</v>
      </c>
      <c r="L5">
        <v>20</v>
      </c>
      <c r="M5">
        <v>3</v>
      </c>
      <c r="N5" t="s">
        <v>29</v>
      </c>
      <c r="O5">
        <f t="shared" si="0"/>
        <v>-20</v>
      </c>
      <c r="P5">
        <f t="shared" si="1"/>
        <v>-3</v>
      </c>
    </row>
    <row r="6" spans="1:19" x14ac:dyDescent="0.2">
      <c r="A6" t="s">
        <v>17</v>
      </c>
      <c r="B6" t="s">
        <v>35</v>
      </c>
      <c r="C6" t="s">
        <v>36</v>
      </c>
      <c r="D6" t="s">
        <v>37</v>
      </c>
      <c r="E6" t="s">
        <v>38</v>
      </c>
      <c r="F6" t="s">
        <v>22</v>
      </c>
      <c r="G6" t="s">
        <v>23</v>
      </c>
      <c r="H6">
        <v>1.79</v>
      </c>
      <c r="I6">
        <v>1.74</v>
      </c>
      <c r="J6">
        <v>3</v>
      </c>
      <c r="K6">
        <v>1.9</v>
      </c>
      <c r="L6">
        <v>20</v>
      </c>
      <c r="M6">
        <v>19</v>
      </c>
      <c r="N6" t="s">
        <v>39</v>
      </c>
      <c r="O6">
        <f t="shared" si="0"/>
        <v>15.8</v>
      </c>
      <c r="P6">
        <f t="shared" si="1"/>
        <v>15.010000000000002</v>
      </c>
      <c r="R6" t="s">
        <v>40</v>
      </c>
      <c r="S6">
        <f>SUM(P:P)</f>
        <v>1041.4099999999999</v>
      </c>
    </row>
    <row r="7" spans="1:19" x14ac:dyDescent="0.2">
      <c r="A7" t="s">
        <v>17</v>
      </c>
      <c r="B7" t="s">
        <v>41</v>
      </c>
      <c r="C7" t="s">
        <v>36</v>
      </c>
      <c r="D7" t="s">
        <v>42</v>
      </c>
      <c r="E7" t="s">
        <v>43</v>
      </c>
      <c r="F7" t="s">
        <v>22</v>
      </c>
      <c r="G7" t="s">
        <v>23</v>
      </c>
      <c r="H7">
        <v>4.2</v>
      </c>
      <c r="I7">
        <v>4.0199999999999996</v>
      </c>
      <c r="J7">
        <v>4.4000000000000004</v>
      </c>
      <c r="K7">
        <v>0.7</v>
      </c>
      <c r="L7">
        <v>20</v>
      </c>
      <c r="M7">
        <v>7</v>
      </c>
      <c r="N7" t="s">
        <v>29</v>
      </c>
      <c r="O7">
        <f t="shared" si="0"/>
        <v>-20</v>
      </c>
      <c r="P7">
        <f t="shared" si="1"/>
        <v>-7</v>
      </c>
      <c r="R7" t="s">
        <v>44</v>
      </c>
      <c r="S7">
        <f>SUM(S1+S6)</f>
        <v>2041.4099999999999</v>
      </c>
    </row>
    <row r="8" spans="1:19" x14ac:dyDescent="0.2">
      <c r="A8" t="s">
        <v>17</v>
      </c>
      <c r="B8" t="s">
        <v>45</v>
      </c>
      <c r="C8" t="s">
        <v>36</v>
      </c>
      <c r="D8" t="s">
        <v>46</v>
      </c>
      <c r="E8" t="s">
        <v>47</v>
      </c>
      <c r="F8" t="s">
        <v>22</v>
      </c>
      <c r="G8" t="s">
        <v>23</v>
      </c>
      <c r="H8">
        <v>2.2799999999999998</v>
      </c>
      <c r="I8">
        <v>2.21</v>
      </c>
      <c r="J8">
        <v>3.1</v>
      </c>
      <c r="K8">
        <v>1.2</v>
      </c>
      <c r="L8">
        <v>20</v>
      </c>
      <c r="M8">
        <v>12</v>
      </c>
      <c r="O8" t="str">
        <f t="shared" si="0"/>
        <v/>
      </c>
      <c r="P8" t="str">
        <f t="shared" si="1"/>
        <v/>
      </c>
    </row>
    <row r="9" spans="1:19" x14ac:dyDescent="0.2">
      <c r="A9" t="s">
        <v>17</v>
      </c>
      <c r="B9" t="s">
        <v>41</v>
      </c>
      <c r="C9" t="s">
        <v>36</v>
      </c>
      <c r="D9" t="s">
        <v>48</v>
      </c>
      <c r="E9" t="s">
        <v>49</v>
      </c>
      <c r="F9" t="s">
        <v>22</v>
      </c>
      <c r="G9" t="s">
        <v>23</v>
      </c>
      <c r="H9">
        <v>2.4300000000000002</v>
      </c>
      <c r="I9">
        <v>2.34</v>
      </c>
      <c r="J9">
        <v>3.6</v>
      </c>
      <c r="K9">
        <v>1.3</v>
      </c>
      <c r="L9">
        <v>20</v>
      </c>
      <c r="M9">
        <v>13</v>
      </c>
      <c r="N9" t="s">
        <v>29</v>
      </c>
      <c r="O9">
        <f t="shared" si="0"/>
        <v>-20</v>
      </c>
      <c r="P9">
        <f t="shared" si="1"/>
        <v>-13</v>
      </c>
    </row>
    <row r="11" spans="1:19" x14ac:dyDescent="0.2">
      <c r="A11" t="s">
        <v>17</v>
      </c>
      <c r="B11" t="s">
        <v>17</v>
      </c>
      <c r="C11" t="s">
        <v>50</v>
      </c>
      <c r="D11" t="s">
        <v>51</v>
      </c>
      <c r="E11" t="s">
        <v>52</v>
      </c>
      <c r="F11" t="s">
        <v>22</v>
      </c>
      <c r="G11" t="s">
        <v>23</v>
      </c>
      <c r="H11">
        <v>4.4000000000000004</v>
      </c>
      <c r="I11">
        <v>1.97</v>
      </c>
      <c r="J11">
        <v>123.7</v>
      </c>
      <c r="K11">
        <v>18.2</v>
      </c>
      <c r="L11">
        <v>20</v>
      </c>
      <c r="M11">
        <v>182</v>
      </c>
      <c r="N11" t="s">
        <v>29</v>
      </c>
      <c r="O11">
        <f t="shared" ref="O11:O19" si="2">IF(UPPER(N11)="W",(H11-1)*L11,IF(UPPER(N11)="L",-L11,""))</f>
        <v>-20</v>
      </c>
      <c r="P11">
        <f t="shared" ref="P11:P19" si="3">IF(UPPER(N11)="W",(H11-1)*M11,IF(UPPER(N11)="L",-M11,""))</f>
        <v>-182</v>
      </c>
    </row>
    <row r="12" spans="1:19" x14ac:dyDescent="0.2">
      <c r="A12" t="s">
        <v>17</v>
      </c>
      <c r="B12" t="s">
        <v>17</v>
      </c>
      <c r="C12" t="s">
        <v>50</v>
      </c>
      <c r="D12" t="s">
        <v>53</v>
      </c>
      <c r="E12" t="s">
        <v>54</v>
      </c>
      <c r="F12" t="s">
        <v>22</v>
      </c>
      <c r="G12" t="s">
        <v>23</v>
      </c>
      <c r="H12">
        <v>1.76</v>
      </c>
      <c r="I12">
        <v>1.36</v>
      </c>
      <c r="J12">
        <v>29</v>
      </c>
      <c r="K12">
        <v>19.100000000000001</v>
      </c>
      <c r="L12">
        <v>20</v>
      </c>
      <c r="M12">
        <v>191</v>
      </c>
      <c r="N12" t="s">
        <v>39</v>
      </c>
      <c r="O12">
        <f t="shared" si="2"/>
        <v>15.2</v>
      </c>
      <c r="P12">
        <f t="shared" si="3"/>
        <v>145.16</v>
      </c>
    </row>
    <row r="13" spans="1:19" x14ac:dyDescent="0.2">
      <c r="A13" t="s">
        <v>17</v>
      </c>
      <c r="B13" t="s">
        <v>17</v>
      </c>
      <c r="C13" t="s">
        <v>50</v>
      </c>
      <c r="D13" t="s">
        <v>55</v>
      </c>
      <c r="E13" t="s">
        <v>56</v>
      </c>
      <c r="F13" t="s">
        <v>22</v>
      </c>
      <c r="G13" t="s">
        <v>23</v>
      </c>
      <c r="H13">
        <v>26</v>
      </c>
      <c r="I13">
        <v>17.37</v>
      </c>
      <c r="J13">
        <v>49.7</v>
      </c>
      <c r="K13">
        <v>1</v>
      </c>
      <c r="L13">
        <v>20</v>
      </c>
      <c r="M13">
        <v>10</v>
      </c>
      <c r="N13" t="s">
        <v>29</v>
      </c>
      <c r="O13">
        <f t="shared" si="2"/>
        <v>-20</v>
      </c>
      <c r="P13">
        <f t="shared" si="3"/>
        <v>-10</v>
      </c>
    </row>
    <row r="14" spans="1:19" x14ac:dyDescent="0.2">
      <c r="A14" t="s">
        <v>17</v>
      </c>
      <c r="B14" t="s">
        <v>17</v>
      </c>
      <c r="C14" t="s">
        <v>50</v>
      </c>
      <c r="D14" t="s">
        <v>57</v>
      </c>
      <c r="E14" t="s">
        <v>58</v>
      </c>
      <c r="F14" t="s">
        <v>22</v>
      </c>
      <c r="G14" t="s">
        <v>23</v>
      </c>
      <c r="H14">
        <v>2.1</v>
      </c>
      <c r="I14">
        <v>1.37</v>
      </c>
      <c r="J14">
        <v>52.9</v>
      </c>
      <c r="K14">
        <v>24</v>
      </c>
      <c r="L14">
        <v>20</v>
      </c>
      <c r="M14">
        <v>240</v>
      </c>
      <c r="N14" t="s">
        <v>39</v>
      </c>
      <c r="O14">
        <f t="shared" si="2"/>
        <v>22</v>
      </c>
      <c r="P14">
        <f t="shared" si="3"/>
        <v>264</v>
      </c>
    </row>
    <row r="15" spans="1:19" x14ac:dyDescent="0.2">
      <c r="A15" t="s">
        <v>17</v>
      </c>
      <c r="B15" t="s">
        <v>17</v>
      </c>
      <c r="C15" t="s">
        <v>50</v>
      </c>
      <c r="D15" t="s">
        <v>59</v>
      </c>
      <c r="E15" t="s">
        <v>60</v>
      </c>
      <c r="F15" t="s">
        <v>22</v>
      </c>
      <c r="G15" t="s">
        <v>23</v>
      </c>
      <c r="H15">
        <v>2.95</v>
      </c>
      <c r="I15">
        <v>2.04</v>
      </c>
      <c r="J15">
        <v>44.6</v>
      </c>
      <c r="K15">
        <v>11.4</v>
      </c>
      <c r="L15">
        <v>20</v>
      </c>
      <c r="M15">
        <v>114</v>
      </c>
      <c r="N15" t="s">
        <v>39</v>
      </c>
      <c r="O15">
        <f t="shared" si="2"/>
        <v>39</v>
      </c>
      <c r="P15">
        <f t="shared" si="3"/>
        <v>222.3</v>
      </c>
    </row>
    <row r="16" spans="1:19" x14ac:dyDescent="0.2">
      <c r="A16" t="s">
        <v>17</v>
      </c>
      <c r="B16" t="s">
        <v>17</v>
      </c>
      <c r="C16" t="s">
        <v>50</v>
      </c>
      <c r="D16" t="s">
        <v>61</v>
      </c>
      <c r="E16" t="s">
        <v>62</v>
      </c>
      <c r="F16" t="s">
        <v>22</v>
      </c>
      <c r="G16" t="s">
        <v>23</v>
      </c>
      <c r="H16">
        <v>2.6</v>
      </c>
      <c r="I16">
        <v>1.9</v>
      </c>
      <c r="J16">
        <v>36.9</v>
      </c>
      <c r="K16">
        <v>11.5</v>
      </c>
      <c r="L16">
        <v>20</v>
      </c>
      <c r="M16">
        <v>115</v>
      </c>
      <c r="N16" t="s">
        <v>39</v>
      </c>
      <c r="O16">
        <f t="shared" si="2"/>
        <v>32</v>
      </c>
      <c r="P16">
        <f t="shared" si="3"/>
        <v>184</v>
      </c>
    </row>
    <row r="17" spans="1:16" x14ac:dyDescent="0.2">
      <c r="A17" t="s">
        <v>17</v>
      </c>
      <c r="B17" t="s">
        <v>17</v>
      </c>
      <c r="C17" t="s">
        <v>50</v>
      </c>
      <c r="D17" t="s">
        <v>63</v>
      </c>
      <c r="E17" t="s">
        <v>64</v>
      </c>
      <c r="F17" t="s">
        <v>22</v>
      </c>
      <c r="G17" t="s">
        <v>23</v>
      </c>
      <c r="H17">
        <v>3.8</v>
      </c>
      <c r="I17">
        <v>2.52</v>
      </c>
      <c r="J17">
        <v>50.8</v>
      </c>
      <c r="K17">
        <v>9.1</v>
      </c>
      <c r="L17">
        <v>20</v>
      </c>
      <c r="M17">
        <v>91</v>
      </c>
      <c r="N17" t="s">
        <v>39</v>
      </c>
      <c r="O17">
        <f t="shared" si="2"/>
        <v>56</v>
      </c>
      <c r="P17">
        <f t="shared" si="3"/>
        <v>254.79999999999998</v>
      </c>
    </row>
    <row r="18" spans="1:16" x14ac:dyDescent="0.2">
      <c r="A18" t="s">
        <v>17</v>
      </c>
      <c r="B18" t="s">
        <v>17</v>
      </c>
      <c r="C18" t="s">
        <v>65</v>
      </c>
      <c r="D18" t="s">
        <v>66</v>
      </c>
      <c r="E18" t="s">
        <v>67</v>
      </c>
      <c r="F18" t="s">
        <v>22</v>
      </c>
      <c r="G18" t="s">
        <v>23</v>
      </c>
      <c r="H18">
        <v>2.88</v>
      </c>
      <c r="I18">
        <v>2.56</v>
      </c>
      <c r="J18">
        <v>12.3</v>
      </c>
      <c r="K18">
        <v>3.3</v>
      </c>
      <c r="L18">
        <v>20</v>
      </c>
      <c r="M18">
        <v>33</v>
      </c>
      <c r="N18" t="s">
        <v>39</v>
      </c>
      <c r="O18">
        <f t="shared" si="2"/>
        <v>37.599999999999994</v>
      </c>
      <c r="P18">
        <f t="shared" si="3"/>
        <v>62.04</v>
      </c>
    </row>
    <row r="19" spans="1:16" x14ac:dyDescent="0.2">
      <c r="A19" t="s">
        <v>17</v>
      </c>
      <c r="B19" t="s">
        <v>17</v>
      </c>
      <c r="C19" t="s">
        <v>65</v>
      </c>
      <c r="D19" t="s">
        <v>68</v>
      </c>
      <c r="E19" t="s">
        <v>69</v>
      </c>
      <c r="F19" t="s">
        <v>22</v>
      </c>
      <c r="G19" t="s">
        <v>23</v>
      </c>
      <c r="H19">
        <v>1.76</v>
      </c>
      <c r="I19">
        <v>1.67</v>
      </c>
      <c r="J19">
        <v>5.4</v>
      </c>
      <c r="K19">
        <v>3.5</v>
      </c>
      <c r="L19">
        <v>20</v>
      </c>
      <c r="M19">
        <v>35</v>
      </c>
      <c r="N19" t="s">
        <v>39</v>
      </c>
      <c r="O19">
        <f t="shared" si="2"/>
        <v>15.2</v>
      </c>
      <c r="P19">
        <f t="shared" si="3"/>
        <v>26.6</v>
      </c>
    </row>
    <row r="21" spans="1:16" x14ac:dyDescent="0.2">
      <c r="A21" t="s">
        <v>25</v>
      </c>
      <c r="B21" t="s">
        <v>41</v>
      </c>
      <c r="C21" t="s">
        <v>26</v>
      </c>
      <c r="D21" t="s">
        <v>70</v>
      </c>
      <c r="E21" t="s">
        <v>71</v>
      </c>
      <c r="F21" t="s">
        <v>22</v>
      </c>
      <c r="G21" t="s">
        <v>23</v>
      </c>
      <c r="H21">
        <v>3.85</v>
      </c>
      <c r="I21">
        <v>3.71</v>
      </c>
      <c r="J21">
        <v>3.7</v>
      </c>
      <c r="K21">
        <v>0.7</v>
      </c>
      <c r="L21">
        <v>20</v>
      </c>
      <c r="M21">
        <v>7</v>
      </c>
      <c r="N21" t="s">
        <v>29</v>
      </c>
      <c r="O21">
        <f>IF(UPPER(N21)="W",(H21-1)*L21,IF(UPPER(N21)="L",-L21,""))</f>
        <v>-20</v>
      </c>
      <c r="P21">
        <f>IF(UPPER(N21)="W",(H21-1)*M21,IF(UPPER(N21)="L",-M21,""))</f>
        <v>-7</v>
      </c>
    </row>
    <row r="22" spans="1:16" x14ac:dyDescent="0.2">
      <c r="A22" t="s">
        <v>25</v>
      </c>
      <c r="B22" t="s">
        <v>35</v>
      </c>
      <c r="C22" t="s">
        <v>32</v>
      </c>
      <c r="D22" t="s">
        <v>72</v>
      </c>
      <c r="E22" t="s">
        <v>73</v>
      </c>
      <c r="F22" t="s">
        <v>22</v>
      </c>
      <c r="G22" t="s">
        <v>23</v>
      </c>
      <c r="H22">
        <v>4.3</v>
      </c>
      <c r="I22">
        <v>4.18</v>
      </c>
      <c r="J22">
        <v>2.9</v>
      </c>
      <c r="K22">
        <v>0.4</v>
      </c>
      <c r="L22">
        <v>20</v>
      </c>
      <c r="M22">
        <v>4</v>
      </c>
      <c r="N22" t="s">
        <v>29</v>
      </c>
      <c r="O22">
        <f>IF(UPPER(N22)="W",(H22-1)*L22,IF(UPPER(N22)="L",-L22,""))</f>
        <v>-20</v>
      </c>
      <c r="P22">
        <f>IF(UPPER(N22)="W",(H22-1)*M22,IF(UPPER(N22)="L",-M22,""))</f>
        <v>-4</v>
      </c>
    </row>
    <row r="23" spans="1:16" x14ac:dyDescent="0.2">
      <c r="A23" t="s">
        <v>25</v>
      </c>
      <c r="B23" t="s">
        <v>74</v>
      </c>
      <c r="C23" t="s">
        <v>32</v>
      </c>
      <c r="D23" t="s">
        <v>75</v>
      </c>
      <c r="E23" t="s">
        <v>76</v>
      </c>
      <c r="F23" t="s">
        <v>22</v>
      </c>
      <c r="G23" t="s">
        <v>23</v>
      </c>
      <c r="H23">
        <v>8.5</v>
      </c>
      <c r="I23">
        <v>7.96</v>
      </c>
      <c r="J23">
        <v>6.7</v>
      </c>
      <c r="K23">
        <v>0.4</v>
      </c>
      <c r="L23">
        <v>20</v>
      </c>
      <c r="M23">
        <v>4</v>
      </c>
      <c r="N23" t="s">
        <v>29</v>
      </c>
      <c r="O23">
        <f>IF(UPPER(N23)="W",(H23-1)*L23,IF(UPPER(N23)="L",-L23,""))</f>
        <v>-20</v>
      </c>
      <c r="P23">
        <f>IF(UPPER(N23)="W",(H23-1)*M23,IF(UPPER(N23)="L",-M23,""))</f>
        <v>-4</v>
      </c>
    </row>
    <row r="24" spans="1:16" x14ac:dyDescent="0.2">
      <c r="A24" t="s">
        <v>25</v>
      </c>
      <c r="B24" t="s">
        <v>74</v>
      </c>
      <c r="C24" t="s">
        <v>36</v>
      </c>
      <c r="D24" t="s">
        <v>77</v>
      </c>
      <c r="E24" t="s">
        <v>28</v>
      </c>
      <c r="F24" t="s">
        <v>22</v>
      </c>
      <c r="G24" t="s">
        <v>23</v>
      </c>
      <c r="H24">
        <v>3.65</v>
      </c>
      <c r="I24">
        <v>3.53</v>
      </c>
      <c r="J24">
        <v>3.5</v>
      </c>
      <c r="K24">
        <v>0.7</v>
      </c>
      <c r="L24">
        <v>20</v>
      </c>
      <c r="M24">
        <v>7</v>
      </c>
      <c r="N24" t="s">
        <v>29</v>
      </c>
      <c r="O24">
        <f>IF(UPPER(N24)="W",(H24-1)*L24,IF(UPPER(N24)="L",-L24,""))</f>
        <v>-20</v>
      </c>
      <c r="P24">
        <f>IF(UPPER(N24)="W",(H24-1)*M24,IF(UPPER(N24)="L",-M24,""))</f>
        <v>-7</v>
      </c>
    </row>
    <row r="25" spans="1:16" x14ac:dyDescent="0.2">
      <c r="A25" t="s">
        <v>25</v>
      </c>
      <c r="B25" t="s">
        <v>74</v>
      </c>
      <c r="C25" t="s">
        <v>36</v>
      </c>
      <c r="D25" t="s">
        <v>78</v>
      </c>
      <c r="E25" t="s">
        <v>79</v>
      </c>
      <c r="F25" t="s">
        <v>22</v>
      </c>
      <c r="G25" t="s">
        <v>23</v>
      </c>
      <c r="H25">
        <v>2.75</v>
      </c>
      <c r="I25">
        <v>2.58</v>
      </c>
      <c r="J25">
        <v>6.8</v>
      </c>
      <c r="K25">
        <v>1.9</v>
      </c>
      <c r="L25">
        <v>20</v>
      </c>
      <c r="M25">
        <v>19</v>
      </c>
      <c r="N25" t="s">
        <v>39</v>
      </c>
      <c r="O25">
        <f>IF(UPPER(N25)="W",(H25-1)*L25,IF(UPPER(N25)="L",-L25,""))</f>
        <v>35</v>
      </c>
      <c r="P25">
        <f>IF(UPPER(N25)="W",(H25-1)*M25,IF(UPPER(N25)="L",-M25,""))</f>
        <v>33.25</v>
      </c>
    </row>
    <row r="28" spans="1:16" x14ac:dyDescent="0.2">
      <c r="A28" t="s">
        <v>31</v>
      </c>
      <c r="B28" t="s">
        <v>31</v>
      </c>
      <c r="C28" t="s">
        <v>80</v>
      </c>
      <c r="D28" t="s">
        <v>81</v>
      </c>
      <c r="E28" t="s">
        <v>82</v>
      </c>
      <c r="F28" t="s">
        <v>22</v>
      </c>
      <c r="G28" t="s">
        <v>23</v>
      </c>
      <c r="H28">
        <v>1.36</v>
      </c>
      <c r="I28">
        <v>1.24</v>
      </c>
      <c r="J28">
        <v>9.6999999999999993</v>
      </c>
      <c r="K28">
        <v>13.5</v>
      </c>
      <c r="L28">
        <v>20</v>
      </c>
      <c r="M28">
        <v>135</v>
      </c>
      <c r="N28" t="s">
        <v>29</v>
      </c>
      <c r="O28">
        <f>IF(UPPER(N28)="W",(H28-1)*L28,IF(UPPER(N28)="L",-L28,""))</f>
        <v>-20</v>
      </c>
      <c r="P28">
        <f>IF(UPPER(N28)="W",(H28-1)*M28,IF(UPPER(N28)="L",-M28,""))</f>
        <v>-135</v>
      </c>
    </row>
    <row r="29" spans="1:16" x14ac:dyDescent="0.2">
      <c r="A29" t="s">
        <v>31</v>
      </c>
      <c r="B29" t="s">
        <v>31</v>
      </c>
      <c r="C29" t="s">
        <v>83</v>
      </c>
      <c r="D29" t="s">
        <v>84</v>
      </c>
      <c r="E29" t="s">
        <v>85</v>
      </c>
      <c r="F29" t="s">
        <v>22</v>
      </c>
      <c r="G29" t="s">
        <v>23</v>
      </c>
      <c r="H29">
        <v>2.35</v>
      </c>
      <c r="I29">
        <v>2.29</v>
      </c>
      <c r="J29">
        <v>2.5</v>
      </c>
      <c r="K29">
        <v>0.9</v>
      </c>
      <c r="L29">
        <v>20</v>
      </c>
      <c r="M29">
        <v>9</v>
      </c>
      <c r="N29" t="s">
        <v>39</v>
      </c>
      <c r="O29">
        <f>IF(UPPER(N29)="W",(H29-1)*L29,IF(UPPER(N29)="L",-L29,""))</f>
        <v>27</v>
      </c>
      <c r="P29">
        <f>IF(UPPER(N29)="W",(H29-1)*M29,IF(UPPER(N29)="L",-M29,""))</f>
        <v>12.15</v>
      </c>
    </row>
    <row r="30" spans="1:16" x14ac:dyDescent="0.2">
      <c r="A30" t="s">
        <v>31</v>
      </c>
      <c r="B30" t="s">
        <v>31</v>
      </c>
      <c r="C30" t="s">
        <v>86</v>
      </c>
      <c r="D30" t="s">
        <v>87</v>
      </c>
      <c r="E30" t="s">
        <v>88</v>
      </c>
      <c r="F30" t="s">
        <v>22</v>
      </c>
      <c r="G30" t="s">
        <v>23</v>
      </c>
      <c r="H30">
        <v>2.33</v>
      </c>
      <c r="I30">
        <v>2.2400000000000002</v>
      </c>
      <c r="J30">
        <v>3.9</v>
      </c>
      <c r="K30">
        <v>1.5</v>
      </c>
      <c r="L30">
        <v>20</v>
      </c>
      <c r="M30">
        <v>15</v>
      </c>
      <c r="N30" t="s">
        <v>29</v>
      </c>
      <c r="O30">
        <f>IF(UPPER(N30)="W",(H30-1)*L30,IF(UPPER(N30)="L",-L30,""))</f>
        <v>-20</v>
      </c>
      <c r="P30">
        <f>IF(UPPER(N30)="W",(H30-1)*M30,IF(UPPER(N30)="L",-M30,""))</f>
        <v>-15</v>
      </c>
    </row>
    <row r="31" spans="1:16" x14ac:dyDescent="0.2">
      <c r="A31" t="s">
        <v>31</v>
      </c>
      <c r="B31" t="s">
        <v>35</v>
      </c>
      <c r="C31" t="s">
        <v>89</v>
      </c>
      <c r="D31" t="s">
        <v>90</v>
      </c>
      <c r="E31" t="s">
        <v>91</v>
      </c>
      <c r="F31" t="s">
        <v>22</v>
      </c>
      <c r="G31" t="s">
        <v>23</v>
      </c>
      <c r="H31">
        <v>1.55</v>
      </c>
      <c r="I31">
        <v>1.48</v>
      </c>
      <c r="J31">
        <v>4.9000000000000004</v>
      </c>
      <c r="K31">
        <v>4.5</v>
      </c>
      <c r="L31">
        <v>20</v>
      </c>
      <c r="M31">
        <v>45</v>
      </c>
      <c r="N31" t="s">
        <v>39</v>
      </c>
      <c r="O31">
        <f>IF(UPPER(N31)="W",(H31-1)*L31,IF(UPPER(N31)="L",-L31,""))</f>
        <v>11</v>
      </c>
      <c r="P31">
        <f>IF(UPPER(N31)="W",(H31-1)*M31,IF(UPPER(N31)="L",-M31,""))</f>
        <v>24.750000000000004</v>
      </c>
    </row>
    <row r="32" spans="1:16" x14ac:dyDescent="0.2">
      <c r="A32" t="s">
        <v>31</v>
      </c>
      <c r="B32" t="s">
        <v>74</v>
      </c>
      <c r="C32" t="s">
        <v>89</v>
      </c>
      <c r="D32" t="s">
        <v>92</v>
      </c>
      <c r="E32" t="s">
        <v>93</v>
      </c>
      <c r="F32" t="s">
        <v>22</v>
      </c>
      <c r="G32" t="s">
        <v>23</v>
      </c>
      <c r="H32">
        <v>2.4</v>
      </c>
      <c r="I32">
        <v>2.33</v>
      </c>
      <c r="J32">
        <v>2.9</v>
      </c>
      <c r="K32">
        <v>1</v>
      </c>
      <c r="L32">
        <v>20</v>
      </c>
      <c r="M32">
        <v>10</v>
      </c>
      <c r="N32" t="s">
        <v>39</v>
      </c>
      <c r="O32">
        <f>IF(UPPER(N32)="W",(H32-1)*L32,IF(UPPER(N32)="L",-L32,""))</f>
        <v>28</v>
      </c>
      <c r="P32">
        <f>IF(UPPER(N32)="W",(H32-1)*M32,IF(UPPER(N32)="L",-M32,""))</f>
        <v>14</v>
      </c>
    </row>
    <row r="34" spans="1:16" x14ac:dyDescent="0.2">
      <c r="A34" t="s">
        <v>31</v>
      </c>
      <c r="B34" t="s">
        <v>94</v>
      </c>
      <c r="C34" t="s">
        <v>32</v>
      </c>
      <c r="D34" t="s">
        <v>95</v>
      </c>
      <c r="E34" t="s">
        <v>96</v>
      </c>
      <c r="F34" t="s">
        <v>22</v>
      </c>
      <c r="G34" t="s">
        <v>23</v>
      </c>
      <c r="H34">
        <v>5.5</v>
      </c>
      <c r="I34">
        <v>5.15</v>
      </c>
      <c r="J34">
        <v>6.8</v>
      </c>
      <c r="K34">
        <v>0.8</v>
      </c>
      <c r="L34">
        <v>20</v>
      </c>
      <c r="M34">
        <v>8</v>
      </c>
      <c r="N34" t="s">
        <v>29</v>
      </c>
      <c r="O34">
        <f>IF(UPPER(N34)="W",(H34-1)*L34,IF(UPPER(N34)="L",-L34,""))</f>
        <v>-20</v>
      </c>
      <c r="P34">
        <f>IF(UPPER(N34)="W",(H34-1)*M34,IF(UPPER(N34)="L",-M34,""))</f>
        <v>-8</v>
      </c>
    </row>
    <row r="35" spans="1:16" x14ac:dyDescent="0.2">
      <c r="A35" t="s">
        <v>31</v>
      </c>
      <c r="B35" t="s">
        <v>74</v>
      </c>
      <c r="C35" t="s">
        <v>32</v>
      </c>
      <c r="D35" t="s">
        <v>75</v>
      </c>
      <c r="E35" t="s">
        <v>76</v>
      </c>
      <c r="F35" t="s">
        <v>22</v>
      </c>
      <c r="G35" t="s">
        <v>23</v>
      </c>
      <c r="H35">
        <v>8.5</v>
      </c>
      <c r="I35">
        <v>8.0399999999999991</v>
      </c>
      <c r="J35">
        <v>5.7</v>
      </c>
      <c r="K35">
        <v>0.4</v>
      </c>
      <c r="L35">
        <v>20</v>
      </c>
      <c r="M35">
        <v>4</v>
      </c>
      <c r="N35" t="s">
        <v>29</v>
      </c>
      <c r="O35">
        <f>IF(UPPER(N35)="W",(H35-1)*L35,IF(UPPER(N35)="L",-L35,""))</f>
        <v>-20</v>
      </c>
      <c r="P35">
        <f>IF(UPPER(N35)="W",(H35-1)*M35,IF(UPPER(N35)="L",-M35,""))</f>
        <v>-4</v>
      </c>
    </row>
    <row r="36" spans="1:16" x14ac:dyDescent="0.2">
      <c r="A36" t="s">
        <v>31</v>
      </c>
      <c r="B36" t="s">
        <v>31</v>
      </c>
      <c r="C36" t="s">
        <v>50</v>
      </c>
      <c r="D36" t="s">
        <v>97</v>
      </c>
      <c r="E36" t="s">
        <v>98</v>
      </c>
      <c r="F36" t="s">
        <v>22</v>
      </c>
      <c r="G36" t="s">
        <v>23</v>
      </c>
      <c r="H36">
        <v>3.05</v>
      </c>
      <c r="I36">
        <v>2.71</v>
      </c>
      <c r="J36">
        <v>12.7</v>
      </c>
      <c r="K36">
        <v>3.1</v>
      </c>
      <c r="L36">
        <v>20</v>
      </c>
      <c r="M36">
        <v>31</v>
      </c>
      <c r="N36" t="s">
        <v>39</v>
      </c>
      <c r="O36">
        <f>IF(UPPER(N36)="W",(H36-1)*L36,IF(UPPER(N36)="L",-L36,""))</f>
        <v>41</v>
      </c>
      <c r="P36">
        <f>IF(UPPER(N36)="W",(H36-1)*M36,IF(UPPER(N36)="L",-M36,""))</f>
        <v>63.55</v>
      </c>
    </row>
    <row r="37" spans="1:16" x14ac:dyDescent="0.2">
      <c r="A37" t="s">
        <v>31</v>
      </c>
      <c r="B37" t="s">
        <v>31</v>
      </c>
      <c r="C37" t="s">
        <v>65</v>
      </c>
      <c r="D37" t="s">
        <v>99</v>
      </c>
      <c r="E37" t="s">
        <v>100</v>
      </c>
      <c r="F37" t="s">
        <v>22</v>
      </c>
      <c r="G37" t="s">
        <v>23</v>
      </c>
      <c r="H37">
        <v>2.35</v>
      </c>
      <c r="I37">
        <v>1.68</v>
      </c>
      <c r="J37">
        <v>39.799999999999997</v>
      </c>
      <c r="K37">
        <v>14.7</v>
      </c>
      <c r="L37">
        <v>20</v>
      </c>
      <c r="M37">
        <v>147</v>
      </c>
      <c r="N37" t="s">
        <v>39</v>
      </c>
      <c r="O37">
        <f>IF(UPPER(N37)="W",(H37-1)*L37,IF(UPPER(N37)="L",-L37,""))</f>
        <v>27</v>
      </c>
      <c r="P37">
        <f>IF(UPPER(N37)="W",(H37-1)*M37,IF(UPPER(N37)="L",-M37,""))</f>
        <v>198.45000000000002</v>
      </c>
    </row>
    <row r="38" spans="1:16" x14ac:dyDescent="0.2">
      <c r="A38" t="s">
        <v>31</v>
      </c>
      <c r="B38" t="s">
        <v>31</v>
      </c>
      <c r="C38" t="s">
        <v>65</v>
      </c>
      <c r="D38" t="s">
        <v>101</v>
      </c>
      <c r="E38" t="s">
        <v>102</v>
      </c>
      <c r="F38" t="s">
        <v>22</v>
      </c>
      <c r="G38" t="s">
        <v>23</v>
      </c>
      <c r="H38">
        <v>1.81</v>
      </c>
      <c r="I38">
        <v>1.49</v>
      </c>
      <c r="J38">
        <v>21.1</v>
      </c>
      <c r="K38">
        <v>13</v>
      </c>
      <c r="L38">
        <v>20</v>
      </c>
      <c r="M38">
        <v>130</v>
      </c>
      <c r="N38" t="s">
        <v>29</v>
      </c>
      <c r="O38">
        <f>IF(UPPER(N38)="W",(H38-1)*L38,IF(UPPER(N38)="L",-L38,""))</f>
        <v>-20</v>
      </c>
      <c r="P38">
        <f>IF(UPPER(N38)="W",(H38-1)*M38,IF(UPPER(N38)="L",-M38,""))</f>
        <v>-130</v>
      </c>
    </row>
    <row r="40" spans="1:16" x14ac:dyDescent="0.2">
      <c r="A40" t="s">
        <v>94</v>
      </c>
      <c r="B40" t="s">
        <v>94</v>
      </c>
      <c r="C40" t="s">
        <v>80</v>
      </c>
      <c r="D40" t="s">
        <v>81</v>
      </c>
      <c r="E40" t="s">
        <v>103</v>
      </c>
      <c r="F40" t="s">
        <v>22</v>
      </c>
      <c r="G40" t="s">
        <v>23</v>
      </c>
      <c r="H40">
        <v>1.85</v>
      </c>
      <c r="I40">
        <v>1.24</v>
      </c>
      <c r="J40">
        <v>48.9</v>
      </c>
      <c r="K40">
        <v>28.8</v>
      </c>
      <c r="L40">
        <v>20</v>
      </c>
      <c r="M40">
        <v>288</v>
      </c>
      <c r="N40" t="s">
        <v>29</v>
      </c>
      <c r="O40">
        <f t="shared" ref="O40:O48" si="4">IF(UPPER(N40)="W",(H40-1)*L40,IF(UPPER(N40)="L",-L40,""))</f>
        <v>-20</v>
      </c>
      <c r="P40">
        <f t="shared" ref="P40:P48" si="5">IF(UPPER(N40)="W",(H40-1)*M40,IF(UPPER(N40)="L",-M40,""))</f>
        <v>-288</v>
      </c>
    </row>
    <row r="41" spans="1:16" x14ac:dyDescent="0.2">
      <c r="A41" t="s">
        <v>94</v>
      </c>
      <c r="B41" t="s">
        <v>94</v>
      </c>
      <c r="C41" t="s">
        <v>80</v>
      </c>
      <c r="D41" t="s">
        <v>104</v>
      </c>
      <c r="E41" t="s">
        <v>105</v>
      </c>
      <c r="F41" t="s">
        <v>22</v>
      </c>
      <c r="G41" t="s">
        <v>23</v>
      </c>
      <c r="H41">
        <v>1.83</v>
      </c>
      <c r="I41">
        <v>1.42</v>
      </c>
      <c r="J41">
        <v>28.7</v>
      </c>
      <c r="K41">
        <v>17.3</v>
      </c>
      <c r="L41">
        <v>20</v>
      </c>
      <c r="M41">
        <v>173</v>
      </c>
      <c r="N41" t="s">
        <v>39</v>
      </c>
      <c r="O41">
        <f t="shared" si="4"/>
        <v>16.600000000000001</v>
      </c>
      <c r="P41">
        <f t="shared" si="5"/>
        <v>143.59</v>
      </c>
    </row>
    <row r="42" spans="1:16" x14ac:dyDescent="0.2">
      <c r="A42" t="s">
        <v>94</v>
      </c>
      <c r="B42" t="s">
        <v>94</v>
      </c>
      <c r="C42" t="s">
        <v>86</v>
      </c>
      <c r="D42" t="s">
        <v>106</v>
      </c>
      <c r="E42" t="s">
        <v>107</v>
      </c>
      <c r="F42" t="s">
        <v>22</v>
      </c>
      <c r="G42" t="s">
        <v>23</v>
      </c>
      <c r="H42">
        <v>2.4</v>
      </c>
      <c r="I42">
        <v>1.8</v>
      </c>
      <c r="J42">
        <v>33.700000000000003</v>
      </c>
      <c r="K42">
        <v>12</v>
      </c>
      <c r="L42">
        <v>20</v>
      </c>
      <c r="M42">
        <v>120</v>
      </c>
      <c r="N42" t="s">
        <v>29</v>
      </c>
      <c r="O42">
        <f t="shared" si="4"/>
        <v>-20</v>
      </c>
      <c r="P42">
        <f t="shared" si="5"/>
        <v>-120</v>
      </c>
    </row>
    <row r="43" spans="1:16" x14ac:dyDescent="0.2">
      <c r="A43" t="s">
        <v>94</v>
      </c>
      <c r="B43" t="s">
        <v>74</v>
      </c>
      <c r="C43" t="s">
        <v>32</v>
      </c>
      <c r="D43" t="s">
        <v>108</v>
      </c>
      <c r="E43" t="s">
        <v>109</v>
      </c>
      <c r="F43" t="s">
        <v>22</v>
      </c>
      <c r="G43" t="s">
        <v>23</v>
      </c>
      <c r="H43">
        <v>5.75</v>
      </c>
      <c r="I43">
        <v>5.53</v>
      </c>
      <c r="J43">
        <v>4</v>
      </c>
      <c r="K43">
        <v>0.4</v>
      </c>
      <c r="L43">
        <v>20</v>
      </c>
      <c r="M43">
        <v>4</v>
      </c>
      <c r="N43" t="s">
        <v>29</v>
      </c>
      <c r="O43">
        <f t="shared" si="4"/>
        <v>-20</v>
      </c>
      <c r="P43">
        <f t="shared" si="5"/>
        <v>-4</v>
      </c>
    </row>
    <row r="44" spans="1:16" x14ac:dyDescent="0.2">
      <c r="A44" t="s">
        <v>94</v>
      </c>
      <c r="B44" t="s">
        <v>74</v>
      </c>
      <c r="C44" t="s">
        <v>36</v>
      </c>
      <c r="D44" t="s">
        <v>77</v>
      </c>
      <c r="E44" t="s">
        <v>110</v>
      </c>
      <c r="F44" t="s">
        <v>22</v>
      </c>
      <c r="G44" t="s">
        <v>23</v>
      </c>
      <c r="H44">
        <v>3.65</v>
      </c>
      <c r="I44">
        <v>3.5</v>
      </c>
      <c r="J44">
        <v>4.3</v>
      </c>
      <c r="K44">
        <v>0.8</v>
      </c>
      <c r="L44">
        <v>20</v>
      </c>
      <c r="M44">
        <v>8</v>
      </c>
      <c r="N44" t="s">
        <v>29</v>
      </c>
      <c r="O44">
        <f t="shared" si="4"/>
        <v>-20</v>
      </c>
      <c r="P44">
        <f t="shared" si="5"/>
        <v>-8</v>
      </c>
    </row>
    <row r="45" spans="1:16" x14ac:dyDescent="0.2">
      <c r="A45" t="s">
        <v>94</v>
      </c>
      <c r="B45" t="s">
        <v>94</v>
      </c>
      <c r="C45" t="s">
        <v>50</v>
      </c>
      <c r="D45" t="s">
        <v>111</v>
      </c>
      <c r="E45" t="s">
        <v>112</v>
      </c>
      <c r="F45" t="s">
        <v>22</v>
      </c>
      <c r="G45" t="s">
        <v>23</v>
      </c>
      <c r="H45">
        <v>2.33</v>
      </c>
      <c r="I45">
        <v>2.08</v>
      </c>
      <c r="J45">
        <v>12</v>
      </c>
      <c r="K45">
        <v>4.5</v>
      </c>
      <c r="L45">
        <v>20</v>
      </c>
      <c r="M45">
        <v>45</v>
      </c>
      <c r="N45" t="s">
        <v>29</v>
      </c>
      <c r="O45">
        <f t="shared" si="4"/>
        <v>-20</v>
      </c>
      <c r="P45">
        <f t="shared" si="5"/>
        <v>-45</v>
      </c>
    </row>
    <row r="46" spans="1:16" x14ac:dyDescent="0.2">
      <c r="A46" t="s">
        <v>94</v>
      </c>
      <c r="B46" t="s">
        <v>94</v>
      </c>
      <c r="C46" t="s">
        <v>65</v>
      </c>
      <c r="D46" t="s">
        <v>113</v>
      </c>
      <c r="E46" t="s">
        <v>114</v>
      </c>
      <c r="F46" t="s">
        <v>22</v>
      </c>
      <c r="G46" t="s">
        <v>23</v>
      </c>
      <c r="H46">
        <v>3</v>
      </c>
      <c r="I46">
        <v>1.73</v>
      </c>
      <c r="J46">
        <v>73.099999999999994</v>
      </c>
      <c r="K46">
        <v>18.3</v>
      </c>
      <c r="L46">
        <v>20</v>
      </c>
      <c r="M46">
        <v>183</v>
      </c>
      <c r="N46" t="s">
        <v>29</v>
      </c>
      <c r="O46">
        <f t="shared" si="4"/>
        <v>-20</v>
      </c>
      <c r="P46">
        <f t="shared" si="5"/>
        <v>-183</v>
      </c>
    </row>
    <row r="47" spans="1:16" x14ac:dyDescent="0.2">
      <c r="A47" t="s">
        <v>35</v>
      </c>
      <c r="B47" t="s">
        <v>41</v>
      </c>
      <c r="C47" t="s">
        <v>36</v>
      </c>
      <c r="D47" t="s">
        <v>115</v>
      </c>
      <c r="E47" t="s">
        <v>116</v>
      </c>
      <c r="F47" t="s">
        <v>22</v>
      </c>
      <c r="G47" t="s">
        <v>23</v>
      </c>
      <c r="H47">
        <v>6.25</v>
      </c>
      <c r="I47">
        <v>6.07</v>
      </c>
      <c r="J47">
        <v>2.9</v>
      </c>
      <c r="K47">
        <v>0.3</v>
      </c>
      <c r="L47">
        <v>20</v>
      </c>
      <c r="M47">
        <v>3</v>
      </c>
      <c r="N47" t="s">
        <v>29</v>
      </c>
      <c r="O47">
        <f t="shared" si="4"/>
        <v>-20</v>
      </c>
      <c r="P47">
        <f t="shared" si="5"/>
        <v>-3</v>
      </c>
    </row>
    <row r="48" spans="1:16" x14ac:dyDescent="0.2">
      <c r="A48" t="s">
        <v>35</v>
      </c>
      <c r="B48" t="s">
        <v>35</v>
      </c>
      <c r="C48" t="s">
        <v>32</v>
      </c>
      <c r="D48" t="s">
        <v>117</v>
      </c>
      <c r="E48" t="s">
        <v>118</v>
      </c>
      <c r="F48" t="s">
        <v>22</v>
      </c>
      <c r="G48" t="s">
        <v>23</v>
      </c>
      <c r="H48">
        <v>25</v>
      </c>
      <c r="I48">
        <v>23.24</v>
      </c>
      <c r="J48">
        <v>7.6</v>
      </c>
      <c r="K48">
        <v>0.2</v>
      </c>
      <c r="L48">
        <v>20</v>
      </c>
      <c r="M48">
        <v>2</v>
      </c>
      <c r="N48" t="s">
        <v>29</v>
      </c>
      <c r="O48">
        <f t="shared" si="4"/>
        <v>-20</v>
      </c>
      <c r="P48">
        <f t="shared" si="5"/>
        <v>-2</v>
      </c>
    </row>
    <row r="51" spans="1:16" x14ac:dyDescent="0.2">
      <c r="A51" t="s">
        <v>41</v>
      </c>
      <c r="B51" t="s">
        <v>41</v>
      </c>
      <c r="C51" t="s">
        <v>83</v>
      </c>
      <c r="D51" t="s">
        <v>119</v>
      </c>
      <c r="E51" t="s">
        <v>85</v>
      </c>
      <c r="F51" t="s">
        <v>22</v>
      </c>
      <c r="G51" t="s">
        <v>23</v>
      </c>
      <c r="H51">
        <v>2.1</v>
      </c>
      <c r="I51">
        <v>1.75</v>
      </c>
      <c r="J51">
        <v>19.7</v>
      </c>
      <c r="K51">
        <v>9</v>
      </c>
      <c r="L51">
        <v>20</v>
      </c>
      <c r="M51">
        <v>90</v>
      </c>
      <c r="N51" t="s">
        <v>29</v>
      </c>
      <c r="O51">
        <f t="shared" ref="O51:O57" si="6">IF(UPPER(N51)="W",(H51-1)*L51,IF(UPPER(N51)="L",-L51,""))</f>
        <v>-20</v>
      </c>
      <c r="P51">
        <f t="shared" ref="P51:P57" si="7">IF(UPPER(N51)="W",(H51-1)*M51,IF(UPPER(N51)="L",-M51,""))</f>
        <v>-90</v>
      </c>
    </row>
    <row r="52" spans="1:16" x14ac:dyDescent="0.2">
      <c r="A52" t="s">
        <v>41</v>
      </c>
      <c r="B52" t="s">
        <v>41</v>
      </c>
      <c r="C52" t="s">
        <v>83</v>
      </c>
      <c r="D52" t="s">
        <v>120</v>
      </c>
      <c r="E52" t="s">
        <v>121</v>
      </c>
      <c r="F52" t="s">
        <v>22</v>
      </c>
      <c r="G52" t="s">
        <v>23</v>
      </c>
      <c r="H52">
        <v>5.75</v>
      </c>
      <c r="I52">
        <v>5.18</v>
      </c>
      <c r="J52">
        <v>11</v>
      </c>
      <c r="K52">
        <v>1.2</v>
      </c>
      <c r="L52">
        <v>20</v>
      </c>
      <c r="M52">
        <v>12</v>
      </c>
      <c r="N52" t="s">
        <v>29</v>
      </c>
      <c r="O52">
        <f t="shared" si="6"/>
        <v>-20</v>
      </c>
      <c r="P52">
        <f t="shared" si="7"/>
        <v>-12</v>
      </c>
    </row>
    <row r="53" spans="1:16" x14ac:dyDescent="0.2">
      <c r="A53" t="s">
        <v>41</v>
      </c>
      <c r="B53" t="s">
        <v>41</v>
      </c>
      <c r="C53" t="s">
        <v>83</v>
      </c>
      <c r="D53" t="s">
        <v>122</v>
      </c>
      <c r="E53" t="s">
        <v>123</v>
      </c>
      <c r="F53" t="s">
        <v>22</v>
      </c>
      <c r="G53" t="s">
        <v>23</v>
      </c>
      <c r="H53">
        <v>3.5</v>
      </c>
      <c r="I53">
        <v>3.12</v>
      </c>
      <c r="J53">
        <v>12.1</v>
      </c>
      <c r="K53">
        <v>2.4</v>
      </c>
      <c r="L53">
        <v>20</v>
      </c>
      <c r="M53">
        <v>24</v>
      </c>
      <c r="N53" t="s">
        <v>29</v>
      </c>
      <c r="O53">
        <f t="shared" si="6"/>
        <v>-20</v>
      </c>
      <c r="P53">
        <f t="shared" si="7"/>
        <v>-24</v>
      </c>
    </row>
    <row r="54" spans="1:16" x14ac:dyDescent="0.2">
      <c r="A54" t="s">
        <v>41</v>
      </c>
      <c r="B54" t="s">
        <v>41</v>
      </c>
      <c r="C54" t="s">
        <v>83</v>
      </c>
      <c r="D54" t="s">
        <v>124</v>
      </c>
      <c r="E54" t="s">
        <v>125</v>
      </c>
      <c r="F54" t="s">
        <v>22</v>
      </c>
      <c r="G54" t="s">
        <v>23</v>
      </c>
      <c r="H54">
        <v>1.88</v>
      </c>
      <c r="I54">
        <v>1.61</v>
      </c>
      <c r="J54">
        <v>16.600000000000001</v>
      </c>
      <c r="K54">
        <v>9.4</v>
      </c>
      <c r="L54">
        <v>20</v>
      </c>
      <c r="M54">
        <v>94</v>
      </c>
      <c r="N54" t="s">
        <v>39</v>
      </c>
      <c r="O54">
        <f t="shared" si="6"/>
        <v>17.599999999999998</v>
      </c>
      <c r="P54">
        <f t="shared" si="7"/>
        <v>82.719999999999985</v>
      </c>
    </row>
    <row r="55" spans="1:16" x14ac:dyDescent="0.2">
      <c r="A55" t="s">
        <v>41</v>
      </c>
      <c r="B55" t="s">
        <v>41</v>
      </c>
      <c r="C55" t="s">
        <v>83</v>
      </c>
      <c r="D55" t="s">
        <v>126</v>
      </c>
      <c r="E55" t="s">
        <v>127</v>
      </c>
      <c r="F55" t="s">
        <v>22</v>
      </c>
      <c r="G55" t="s">
        <v>23</v>
      </c>
      <c r="H55">
        <v>2.1800000000000002</v>
      </c>
      <c r="I55">
        <v>1.59</v>
      </c>
      <c r="J55">
        <v>36.9</v>
      </c>
      <c r="K55">
        <v>15.6</v>
      </c>
      <c r="L55">
        <v>20</v>
      </c>
      <c r="M55">
        <v>156</v>
      </c>
      <c r="N55" t="s">
        <v>39</v>
      </c>
      <c r="O55">
        <f t="shared" si="6"/>
        <v>23.6</v>
      </c>
      <c r="P55">
        <f t="shared" si="7"/>
        <v>184.08</v>
      </c>
    </row>
    <row r="56" spans="1:16" x14ac:dyDescent="0.2">
      <c r="A56" t="s">
        <v>41</v>
      </c>
      <c r="B56" t="s">
        <v>45</v>
      </c>
      <c r="C56" t="s">
        <v>36</v>
      </c>
      <c r="D56" t="s">
        <v>128</v>
      </c>
      <c r="E56" t="s">
        <v>129</v>
      </c>
      <c r="F56" t="s">
        <v>22</v>
      </c>
      <c r="G56" t="s">
        <v>23</v>
      </c>
      <c r="H56">
        <v>2.7</v>
      </c>
      <c r="I56">
        <v>2.62</v>
      </c>
      <c r="J56">
        <v>3.2</v>
      </c>
      <c r="K56">
        <v>0.9</v>
      </c>
      <c r="L56">
        <v>20</v>
      </c>
      <c r="M56">
        <v>9</v>
      </c>
      <c r="N56" t="s">
        <v>29</v>
      </c>
      <c r="O56">
        <f t="shared" si="6"/>
        <v>-20</v>
      </c>
      <c r="P56">
        <f t="shared" si="7"/>
        <v>-9</v>
      </c>
    </row>
    <row r="57" spans="1:16" x14ac:dyDescent="0.2">
      <c r="A57" t="s">
        <v>41</v>
      </c>
      <c r="B57" t="s">
        <v>41</v>
      </c>
      <c r="C57" t="s">
        <v>65</v>
      </c>
      <c r="D57" t="s">
        <v>130</v>
      </c>
      <c r="E57" t="s">
        <v>131</v>
      </c>
      <c r="F57" t="s">
        <v>22</v>
      </c>
      <c r="G57" t="s">
        <v>23</v>
      </c>
      <c r="H57">
        <v>2.6</v>
      </c>
      <c r="I57">
        <v>1.85</v>
      </c>
      <c r="J57">
        <v>40.799999999999997</v>
      </c>
      <c r="K57">
        <v>12.7</v>
      </c>
      <c r="L57">
        <v>20</v>
      </c>
      <c r="M57">
        <v>127</v>
      </c>
      <c r="N57" t="s">
        <v>29</v>
      </c>
      <c r="O57">
        <f t="shared" si="6"/>
        <v>-20</v>
      </c>
      <c r="P57">
        <f t="shared" si="7"/>
        <v>-127</v>
      </c>
    </row>
    <row r="60" spans="1:16" x14ac:dyDescent="0.2">
      <c r="A60" t="s">
        <v>45</v>
      </c>
      <c r="B60" t="s">
        <v>45</v>
      </c>
      <c r="C60" t="s">
        <v>36</v>
      </c>
      <c r="D60" t="s">
        <v>46</v>
      </c>
      <c r="E60" t="s">
        <v>132</v>
      </c>
      <c r="F60" t="s">
        <v>22</v>
      </c>
      <c r="G60" t="s">
        <v>23</v>
      </c>
      <c r="H60">
        <v>5.0999999999999996</v>
      </c>
      <c r="I60">
        <v>4.9400000000000004</v>
      </c>
      <c r="J60">
        <v>3.2</v>
      </c>
      <c r="K60">
        <v>0.4</v>
      </c>
      <c r="L60">
        <v>20</v>
      </c>
      <c r="M60">
        <v>4</v>
      </c>
      <c r="N60" t="s">
        <v>29</v>
      </c>
      <c r="O60">
        <f>IF(UPPER(N60)="W",(H60-1)*L60,IF(UPPER(N60)="L",-L60,""))</f>
        <v>-20</v>
      </c>
      <c r="P60">
        <f>IF(UPPER(N60)="W",(H60-1)*M60,IF(UPPER(N60)="L",-M60,""))</f>
        <v>-4</v>
      </c>
    </row>
    <row r="62" spans="1:16" x14ac:dyDescent="0.2">
      <c r="A62" t="s">
        <v>133</v>
      </c>
      <c r="B62" t="s">
        <v>133</v>
      </c>
      <c r="C62" t="s">
        <v>65</v>
      </c>
      <c r="D62" t="s">
        <v>134</v>
      </c>
      <c r="E62" t="s">
        <v>135</v>
      </c>
      <c r="F62" t="s">
        <v>22</v>
      </c>
      <c r="G62" t="s">
        <v>23</v>
      </c>
      <c r="H62">
        <v>2.15</v>
      </c>
      <c r="I62">
        <v>1.87</v>
      </c>
      <c r="J62">
        <v>14.9</v>
      </c>
      <c r="K62">
        <v>6.5</v>
      </c>
      <c r="L62">
        <v>20</v>
      </c>
      <c r="M62">
        <v>65</v>
      </c>
      <c r="N62" t="s">
        <v>29</v>
      </c>
      <c r="O62">
        <f>IF(UPPER(N62)="W",(H62-1)*L62,IF(UPPER(N62)="L",-L62,""))</f>
        <v>-20</v>
      </c>
      <c r="P62">
        <f>IF(UPPER(N62)="W",(H62-1)*M62,IF(UPPER(N62)="L",-M62,""))</f>
        <v>-65</v>
      </c>
    </row>
    <row r="65" spans="1:16" x14ac:dyDescent="0.2">
      <c r="A65" t="s">
        <v>136</v>
      </c>
      <c r="B65" t="s">
        <v>137</v>
      </c>
      <c r="C65" t="s">
        <v>89</v>
      </c>
      <c r="D65" t="s">
        <v>138</v>
      </c>
      <c r="E65" t="s">
        <v>139</v>
      </c>
      <c r="F65" t="s">
        <v>22</v>
      </c>
      <c r="G65" t="s">
        <v>23</v>
      </c>
      <c r="H65">
        <v>1.33</v>
      </c>
      <c r="I65">
        <v>1.29</v>
      </c>
      <c r="J65">
        <v>3.5</v>
      </c>
      <c r="K65">
        <v>5.3</v>
      </c>
      <c r="L65">
        <v>20</v>
      </c>
      <c r="M65">
        <v>53</v>
      </c>
      <c r="N65" t="s">
        <v>39</v>
      </c>
      <c r="O65">
        <f t="shared" ref="O65:O74" si="8">IF(UPPER(N65)="W",(H65-1)*L65,IF(UPPER(N65)="L",-L65,""))</f>
        <v>6.6000000000000014</v>
      </c>
      <c r="P65">
        <f t="shared" ref="P65:P74" si="9">IF(UPPER(N65)="W",(H65-1)*M65,IF(UPPER(N65)="L",-M65,""))</f>
        <v>17.490000000000002</v>
      </c>
    </row>
    <row r="66" spans="1:16" x14ac:dyDescent="0.2">
      <c r="A66" t="s">
        <v>136</v>
      </c>
      <c r="B66" t="s">
        <v>137</v>
      </c>
      <c r="C66" t="s">
        <v>26</v>
      </c>
      <c r="D66" t="s">
        <v>140</v>
      </c>
      <c r="E66" t="s">
        <v>28</v>
      </c>
      <c r="F66" t="s">
        <v>22</v>
      </c>
      <c r="G66" t="s">
        <v>23</v>
      </c>
      <c r="H66">
        <v>3.15</v>
      </c>
      <c r="I66">
        <v>3.06</v>
      </c>
      <c r="J66">
        <v>2.8</v>
      </c>
      <c r="K66">
        <v>0.7</v>
      </c>
      <c r="L66">
        <v>20</v>
      </c>
      <c r="M66">
        <v>7</v>
      </c>
      <c r="N66" t="s">
        <v>29</v>
      </c>
      <c r="O66">
        <f t="shared" si="8"/>
        <v>-20</v>
      </c>
      <c r="P66">
        <f t="shared" si="9"/>
        <v>-7</v>
      </c>
    </row>
    <row r="67" spans="1:16" x14ac:dyDescent="0.2">
      <c r="A67" t="s">
        <v>136</v>
      </c>
      <c r="B67" t="s">
        <v>136</v>
      </c>
      <c r="C67" t="s">
        <v>32</v>
      </c>
      <c r="D67" t="s">
        <v>141</v>
      </c>
      <c r="E67" t="s">
        <v>142</v>
      </c>
      <c r="F67" t="s">
        <v>22</v>
      </c>
      <c r="G67" t="s">
        <v>23</v>
      </c>
      <c r="H67">
        <v>7.5</v>
      </c>
      <c r="I67">
        <v>7.15</v>
      </c>
      <c r="J67">
        <v>5</v>
      </c>
      <c r="K67">
        <v>0.4</v>
      </c>
      <c r="L67">
        <v>20</v>
      </c>
      <c r="M67">
        <v>4</v>
      </c>
      <c r="N67" t="s">
        <v>29</v>
      </c>
      <c r="O67">
        <f t="shared" si="8"/>
        <v>-20</v>
      </c>
      <c r="P67">
        <f t="shared" si="9"/>
        <v>-4</v>
      </c>
    </row>
    <row r="68" spans="1:16" x14ac:dyDescent="0.2">
      <c r="A68" t="s">
        <v>136</v>
      </c>
      <c r="B68" t="s">
        <v>137</v>
      </c>
      <c r="C68" t="s">
        <v>32</v>
      </c>
      <c r="D68" t="s">
        <v>143</v>
      </c>
      <c r="E68" t="s">
        <v>144</v>
      </c>
      <c r="F68" t="s">
        <v>22</v>
      </c>
      <c r="G68" t="s">
        <v>23</v>
      </c>
      <c r="H68">
        <v>6.5</v>
      </c>
      <c r="I68">
        <v>6.32</v>
      </c>
      <c r="J68">
        <v>2.8</v>
      </c>
      <c r="K68">
        <v>0.3</v>
      </c>
      <c r="L68">
        <v>20</v>
      </c>
      <c r="M68">
        <v>3</v>
      </c>
      <c r="N68" t="s">
        <v>29</v>
      </c>
      <c r="O68">
        <f t="shared" si="8"/>
        <v>-20</v>
      </c>
      <c r="P68">
        <f t="shared" si="9"/>
        <v>-3</v>
      </c>
    </row>
    <row r="69" spans="1:16" x14ac:dyDescent="0.2">
      <c r="A69" t="s">
        <v>136</v>
      </c>
      <c r="B69" t="s">
        <v>136</v>
      </c>
      <c r="C69" t="s">
        <v>145</v>
      </c>
      <c r="D69" t="s">
        <v>146</v>
      </c>
      <c r="E69" t="s">
        <v>147</v>
      </c>
      <c r="F69" t="s">
        <v>22</v>
      </c>
      <c r="G69" t="s">
        <v>23</v>
      </c>
      <c r="H69">
        <v>7.5</v>
      </c>
      <c r="I69">
        <v>5.75</v>
      </c>
      <c r="J69">
        <v>30.5</v>
      </c>
      <c r="K69">
        <v>2.2999999999999998</v>
      </c>
      <c r="L69">
        <v>20</v>
      </c>
      <c r="M69">
        <v>23</v>
      </c>
      <c r="N69" t="s">
        <v>29</v>
      </c>
      <c r="O69">
        <f t="shared" si="8"/>
        <v>-20</v>
      </c>
      <c r="P69">
        <f t="shared" si="9"/>
        <v>-23</v>
      </c>
    </row>
    <row r="70" spans="1:16" x14ac:dyDescent="0.2">
      <c r="A70" t="s">
        <v>136</v>
      </c>
      <c r="B70" t="s">
        <v>148</v>
      </c>
      <c r="C70" t="s">
        <v>36</v>
      </c>
      <c r="D70" t="s">
        <v>149</v>
      </c>
      <c r="E70" t="s">
        <v>116</v>
      </c>
      <c r="F70" t="s">
        <v>22</v>
      </c>
      <c r="G70" t="s">
        <v>23</v>
      </c>
      <c r="H70">
        <v>7</v>
      </c>
      <c r="I70">
        <v>5.87</v>
      </c>
      <c r="J70">
        <v>19.3</v>
      </c>
      <c r="K70">
        <v>1.6</v>
      </c>
      <c r="L70">
        <v>20</v>
      </c>
      <c r="M70">
        <v>16</v>
      </c>
      <c r="N70" t="s">
        <v>39</v>
      </c>
      <c r="O70">
        <f t="shared" si="8"/>
        <v>120</v>
      </c>
      <c r="P70">
        <f t="shared" si="9"/>
        <v>96</v>
      </c>
    </row>
    <row r="71" spans="1:16" x14ac:dyDescent="0.2">
      <c r="A71" t="s">
        <v>136</v>
      </c>
      <c r="B71" t="s">
        <v>137</v>
      </c>
      <c r="C71" t="s">
        <v>36</v>
      </c>
      <c r="D71" t="s">
        <v>150</v>
      </c>
      <c r="E71" t="s">
        <v>110</v>
      </c>
      <c r="F71" t="s">
        <v>22</v>
      </c>
      <c r="G71" t="s">
        <v>23</v>
      </c>
      <c r="H71">
        <v>4.0999999999999996</v>
      </c>
      <c r="I71">
        <v>3.85</v>
      </c>
      <c r="J71">
        <v>6.6</v>
      </c>
      <c r="K71">
        <v>1.1000000000000001</v>
      </c>
      <c r="L71">
        <v>20</v>
      </c>
      <c r="M71">
        <v>11</v>
      </c>
      <c r="N71" t="s">
        <v>29</v>
      </c>
      <c r="O71">
        <f t="shared" si="8"/>
        <v>-20</v>
      </c>
      <c r="P71">
        <f t="shared" si="9"/>
        <v>-11</v>
      </c>
    </row>
    <row r="72" spans="1:16" x14ac:dyDescent="0.2">
      <c r="A72" t="s">
        <v>136</v>
      </c>
      <c r="B72" t="s">
        <v>137</v>
      </c>
      <c r="C72" t="s">
        <v>36</v>
      </c>
      <c r="D72" t="s">
        <v>151</v>
      </c>
      <c r="E72" t="s">
        <v>152</v>
      </c>
      <c r="F72" t="s">
        <v>22</v>
      </c>
      <c r="G72" t="s">
        <v>23</v>
      </c>
      <c r="H72">
        <v>9</v>
      </c>
      <c r="I72">
        <v>7.81</v>
      </c>
      <c r="J72">
        <v>15.3</v>
      </c>
      <c r="K72">
        <v>1</v>
      </c>
      <c r="L72">
        <v>20</v>
      </c>
      <c r="M72">
        <v>10</v>
      </c>
      <c r="N72" t="s">
        <v>29</v>
      </c>
      <c r="O72">
        <f t="shared" si="8"/>
        <v>-20</v>
      </c>
      <c r="P72">
        <f t="shared" si="9"/>
        <v>-10</v>
      </c>
    </row>
    <row r="73" spans="1:16" x14ac:dyDescent="0.2">
      <c r="A73" t="s">
        <v>136</v>
      </c>
      <c r="B73" t="s">
        <v>137</v>
      </c>
      <c r="C73" t="s">
        <v>36</v>
      </c>
      <c r="D73" t="s">
        <v>153</v>
      </c>
      <c r="E73" t="s">
        <v>49</v>
      </c>
      <c r="F73" t="s">
        <v>22</v>
      </c>
      <c r="G73" t="s">
        <v>23</v>
      </c>
      <c r="H73">
        <v>4.7</v>
      </c>
      <c r="I73">
        <v>4</v>
      </c>
      <c r="J73">
        <v>17.399999999999999</v>
      </c>
      <c r="K73">
        <v>2.4</v>
      </c>
      <c r="L73">
        <v>20</v>
      </c>
      <c r="M73">
        <v>24</v>
      </c>
      <c r="N73" t="s">
        <v>29</v>
      </c>
      <c r="O73">
        <f t="shared" si="8"/>
        <v>-20</v>
      </c>
      <c r="P73">
        <f t="shared" si="9"/>
        <v>-24</v>
      </c>
    </row>
    <row r="74" spans="1:16" x14ac:dyDescent="0.2">
      <c r="A74" t="s">
        <v>136</v>
      </c>
      <c r="B74" t="s">
        <v>137</v>
      </c>
      <c r="C74" t="s">
        <v>36</v>
      </c>
      <c r="D74" t="s">
        <v>154</v>
      </c>
      <c r="E74" t="s">
        <v>132</v>
      </c>
      <c r="F74" t="s">
        <v>22</v>
      </c>
      <c r="G74" t="s">
        <v>23</v>
      </c>
      <c r="H74">
        <v>5.0999999999999996</v>
      </c>
      <c r="I74">
        <v>4.87</v>
      </c>
      <c r="J74">
        <v>4.7</v>
      </c>
      <c r="K74">
        <v>0.6</v>
      </c>
      <c r="L74">
        <v>20</v>
      </c>
      <c r="M74">
        <v>6</v>
      </c>
      <c r="N74" t="s">
        <v>29</v>
      </c>
      <c r="O74">
        <f t="shared" si="8"/>
        <v>-20</v>
      </c>
      <c r="P74">
        <f t="shared" si="9"/>
        <v>-6</v>
      </c>
    </row>
    <row r="76" spans="1:16" x14ac:dyDescent="0.2">
      <c r="A76" t="s">
        <v>155</v>
      </c>
      <c r="B76" t="s">
        <v>155</v>
      </c>
      <c r="C76" t="s">
        <v>36</v>
      </c>
      <c r="D76" t="s">
        <v>156</v>
      </c>
      <c r="E76" t="s">
        <v>79</v>
      </c>
      <c r="F76" t="s">
        <v>22</v>
      </c>
      <c r="G76" t="s">
        <v>23</v>
      </c>
      <c r="H76">
        <v>4.5</v>
      </c>
      <c r="I76">
        <v>4.24</v>
      </c>
      <c r="J76">
        <v>6.1</v>
      </c>
      <c r="K76">
        <v>0.9</v>
      </c>
      <c r="L76">
        <v>20</v>
      </c>
      <c r="M76">
        <v>9</v>
      </c>
      <c r="N76" t="s">
        <v>39</v>
      </c>
      <c r="O76">
        <f>IF(UPPER(N76)="W",(H76-1)*L76,IF(UPPER(N76)="L",-L76,""))</f>
        <v>70</v>
      </c>
      <c r="P76">
        <f>IF(UPPER(N76)="W",(H76-1)*M76,IF(UPPER(N76)="L",-M76,""))</f>
        <v>31.5</v>
      </c>
    </row>
    <row r="77" spans="1:16" x14ac:dyDescent="0.2">
      <c r="A77" t="s">
        <v>155</v>
      </c>
      <c r="B77" t="s">
        <v>155</v>
      </c>
      <c r="C77" t="s">
        <v>36</v>
      </c>
      <c r="D77" t="s">
        <v>157</v>
      </c>
      <c r="E77" t="s">
        <v>28</v>
      </c>
      <c r="F77" t="s">
        <v>22</v>
      </c>
      <c r="G77" t="s">
        <v>23</v>
      </c>
      <c r="H77">
        <v>6</v>
      </c>
      <c r="I77">
        <v>5.72</v>
      </c>
      <c r="J77">
        <v>4.9000000000000004</v>
      </c>
      <c r="K77">
        <v>0.5</v>
      </c>
      <c r="L77">
        <v>20</v>
      </c>
      <c r="M77">
        <v>5</v>
      </c>
      <c r="N77" t="s">
        <v>39</v>
      </c>
      <c r="O77">
        <f>IF(UPPER(N77)="W",(H77-1)*L77,IF(UPPER(N77)="L",-L77,""))</f>
        <v>100</v>
      </c>
      <c r="P77">
        <f>IF(UPPER(N77)="W",(H77-1)*M77,IF(UPPER(N77)="L",-M77,""))</f>
        <v>25</v>
      </c>
    </row>
    <row r="79" spans="1:16" x14ac:dyDescent="0.2">
      <c r="A79" t="s">
        <v>158</v>
      </c>
      <c r="B79" t="s">
        <v>159</v>
      </c>
      <c r="C79" t="s">
        <v>160</v>
      </c>
      <c r="D79" t="s">
        <v>161</v>
      </c>
      <c r="E79" t="s">
        <v>162</v>
      </c>
      <c r="F79" t="s">
        <v>22</v>
      </c>
      <c r="G79" t="s">
        <v>23</v>
      </c>
      <c r="H79">
        <v>5.0999999999999996</v>
      </c>
      <c r="I79">
        <v>4.8099999999999996</v>
      </c>
      <c r="J79">
        <v>6</v>
      </c>
      <c r="K79">
        <v>0.7</v>
      </c>
      <c r="L79">
        <v>20</v>
      </c>
      <c r="M79">
        <v>7</v>
      </c>
      <c r="N79" t="s">
        <v>29</v>
      </c>
      <c r="O79">
        <f>IF(UPPER(N79)="W",(H79-1)*L79,IF(UPPER(N79)="L",-L79,""))</f>
        <v>-20</v>
      </c>
      <c r="P79">
        <f>IF(UPPER(N79)="W",(H79-1)*M79,IF(UPPER(N79)="L",-M79,""))</f>
        <v>-7</v>
      </c>
    </row>
    <row r="80" spans="1:16" x14ac:dyDescent="0.2">
      <c r="A80" t="s">
        <v>158</v>
      </c>
      <c r="B80" t="s">
        <v>158</v>
      </c>
      <c r="C80" t="s">
        <v>163</v>
      </c>
      <c r="D80" t="s">
        <v>164</v>
      </c>
      <c r="E80" t="s">
        <v>165</v>
      </c>
      <c r="F80" t="s">
        <v>22</v>
      </c>
      <c r="G80" t="s">
        <v>23</v>
      </c>
      <c r="H80">
        <v>1.68</v>
      </c>
      <c r="I80">
        <v>1.59</v>
      </c>
      <c r="J80">
        <v>5.7</v>
      </c>
      <c r="K80">
        <v>4.2</v>
      </c>
      <c r="L80">
        <v>20</v>
      </c>
      <c r="M80">
        <v>42</v>
      </c>
      <c r="N80" t="s">
        <v>39</v>
      </c>
      <c r="O80">
        <f>IF(UPPER(N80)="W",(H80-1)*L80,IF(UPPER(N80)="L",-L80,""))</f>
        <v>13.599999999999998</v>
      </c>
      <c r="P80">
        <f>IF(UPPER(N80)="W",(H80-1)*M80,IF(UPPER(N80)="L",-M80,""))</f>
        <v>28.56</v>
      </c>
    </row>
    <row r="81" spans="1:16" x14ac:dyDescent="0.2">
      <c r="A81" t="s">
        <v>158</v>
      </c>
      <c r="B81" t="s">
        <v>158</v>
      </c>
      <c r="C81" t="s">
        <v>166</v>
      </c>
      <c r="D81" t="s">
        <v>167</v>
      </c>
      <c r="E81" t="s">
        <v>168</v>
      </c>
      <c r="F81" t="s">
        <v>22</v>
      </c>
      <c r="G81" t="s">
        <v>23</v>
      </c>
      <c r="H81">
        <v>5.75</v>
      </c>
      <c r="I81">
        <v>5.4</v>
      </c>
      <c r="J81">
        <v>6.5</v>
      </c>
      <c r="K81">
        <v>0.7</v>
      </c>
      <c r="L81">
        <v>20</v>
      </c>
      <c r="M81">
        <v>7</v>
      </c>
      <c r="N81" t="s">
        <v>29</v>
      </c>
      <c r="O81">
        <f>IF(UPPER(N81)="W",(H81-1)*L81,IF(UPPER(N81)="L",-L81,""))</f>
        <v>-20</v>
      </c>
      <c r="P81">
        <f>IF(UPPER(N81)="W",(H81-1)*M81,IF(UPPER(N81)="L",-M81,""))</f>
        <v>-7</v>
      </c>
    </row>
    <row r="82" spans="1:16" x14ac:dyDescent="0.2">
      <c r="A82" t="s">
        <v>158</v>
      </c>
      <c r="B82" t="s">
        <v>159</v>
      </c>
      <c r="C82" t="s">
        <v>169</v>
      </c>
      <c r="D82" t="s">
        <v>170</v>
      </c>
      <c r="E82" t="s">
        <v>171</v>
      </c>
      <c r="F82" t="s">
        <v>22</v>
      </c>
      <c r="G82" t="s">
        <v>23</v>
      </c>
      <c r="H82">
        <v>4.8</v>
      </c>
      <c r="I82">
        <v>4.6100000000000003</v>
      </c>
      <c r="J82">
        <v>4.0999999999999996</v>
      </c>
      <c r="K82">
        <v>0.5</v>
      </c>
      <c r="L82">
        <v>20</v>
      </c>
      <c r="M82">
        <v>5</v>
      </c>
      <c r="N82" t="s">
        <v>29</v>
      </c>
      <c r="O82">
        <f>IF(UPPER(N82)="W",(H82-1)*L82,IF(UPPER(N82)="L",-L82,""))</f>
        <v>-20</v>
      </c>
      <c r="P82">
        <f>IF(UPPER(N82)="W",(H82-1)*M82,IF(UPPER(N82)="L",-M82,""))</f>
        <v>-5</v>
      </c>
    </row>
    <row r="84" spans="1:16" x14ac:dyDescent="0.2">
      <c r="A84" t="s">
        <v>172</v>
      </c>
      <c r="B84" t="s">
        <v>173</v>
      </c>
      <c r="C84" t="s">
        <v>83</v>
      </c>
      <c r="D84" t="s">
        <v>174</v>
      </c>
      <c r="E84" t="s">
        <v>175</v>
      </c>
      <c r="F84" t="s">
        <v>22</v>
      </c>
      <c r="G84" t="s">
        <v>23</v>
      </c>
      <c r="H84">
        <v>2.16</v>
      </c>
      <c r="I84">
        <v>1.75</v>
      </c>
      <c r="J84">
        <v>23.6</v>
      </c>
      <c r="K84">
        <v>10.199999999999999</v>
      </c>
      <c r="L84">
        <v>20</v>
      </c>
      <c r="M84">
        <v>102</v>
      </c>
      <c r="N84" t="s">
        <v>39</v>
      </c>
      <c r="O84">
        <f t="shared" ref="O84:O96" si="10">IF(UPPER(N84)="W",(H84-1)*L84,IF(UPPER(N84)="L",-L84,""))</f>
        <v>23.200000000000003</v>
      </c>
      <c r="P84">
        <f t="shared" ref="P84:P96" si="11">IF(UPPER(N84)="W",(H84-1)*M84,IF(UPPER(N84)="L",-M84,""))</f>
        <v>118.32000000000002</v>
      </c>
    </row>
    <row r="85" spans="1:16" x14ac:dyDescent="0.2">
      <c r="A85" t="s">
        <v>172</v>
      </c>
      <c r="B85" t="s">
        <v>172</v>
      </c>
      <c r="C85" t="s">
        <v>83</v>
      </c>
      <c r="D85" t="s">
        <v>176</v>
      </c>
      <c r="E85" t="s">
        <v>177</v>
      </c>
      <c r="F85" t="s">
        <v>22</v>
      </c>
      <c r="G85" t="s">
        <v>23</v>
      </c>
      <c r="H85">
        <v>4.5</v>
      </c>
      <c r="I85">
        <v>3.17</v>
      </c>
      <c r="J85">
        <v>42.1</v>
      </c>
      <c r="K85">
        <v>6</v>
      </c>
      <c r="L85">
        <v>20</v>
      </c>
      <c r="M85">
        <v>60</v>
      </c>
      <c r="N85" t="s">
        <v>39</v>
      </c>
      <c r="O85">
        <f t="shared" si="10"/>
        <v>70</v>
      </c>
      <c r="P85">
        <f t="shared" si="11"/>
        <v>210</v>
      </c>
    </row>
    <row r="86" spans="1:16" x14ac:dyDescent="0.2">
      <c r="A86" t="s">
        <v>172</v>
      </c>
      <c r="B86" t="s">
        <v>178</v>
      </c>
      <c r="C86" t="s">
        <v>179</v>
      </c>
      <c r="D86" t="s">
        <v>180</v>
      </c>
      <c r="E86" t="s">
        <v>181</v>
      </c>
      <c r="F86" t="s">
        <v>22</v>
      </c>
      <c r="G86" t="s">
        <v>23</v>
      </c>
      <c r="H86">
        <v>3.1</v>
      </c>
      <c r="I86">
        <v>2.92</v>
      </c>
      <c r="J86">
        <v>6.3</v>
      </c>
      <c r="K86">
        <v>1.5</v>
      </c>
      <c r="L86">
        <v>20</v>
      </c>
      <c r="M86">
        <v>15</v>
      </c>
      <c r="O86" t="str">
        <f t="shared" si="10"/>
        <v/>
      </c>
      <c r="P86" t="str">
        <f t="shared" si="11"/>
        <v/>
      </c>
    </row>
    <row r="87" spans="1:16" x14ac:dyDescent="0.2">
      <c r="A87" t="s">
        <v>172</v>
      </c>
      <c r="B87" t="s">
        <v>182</v>
      </c>
      <c r="C87" t="s">
        <v>183</v>
      </c>
      <c r="D87" t="s">
        <v>184</v>
      </c>
      <c r="E87" t="s">
        <v>185</v>
      </c>
      <c r="F87" t="s">
        <v>22</v>
      </c>
      <c r="G87" t="s">
        <v>23</v>
      </c>
      <c r="H87">
        <v>3.35</v>
      </c>
      <c r="I87">
        <v>3.19</v>
      </c>
      <c r="J87">
        <v>5</v>
      </c>
      <c r="K87">
        <v>1.1000000000000001</v>
      </c>
      <c r="L87">
        <v>20</v>
      </c>
      <c r="M87">
        <v>11</v>
      </c>
      <c r="N87" t="s">
        <v>29</v>
      </c>
      <c r="O87">
        <f t="shared" si="10"/>
        <v>-20</v>
      </c>
      <c r="P87">
        <f t="shared" si="11"/>
        <v>-11</v>
      </c>
    </row>
    <row r="88" spans="1:16" x14ac:dyDescent="0.2">
      <c r="A88" t="s">
        <v>172</v>
      </c>
      <c r="B88" t="s">
        <v>182</v>
      </c>
      <c r="C88" t="s">
        <v>183</v>
      </c>
      <c r="D88" t="s">
        <v>186</v>
      </c>
      <c r="E88" t="s">
        <v>187</v>
      </c>
      <c r="F88" t="s">
        <v>22</v>
      </c>
      <c r="G88" t="s">
        <v>23</v>
      </c>
      <c r="H88">
        <v>3.5</v>
      </c>
      <c r="I88">
        <v>3.36</v>
      </c>
      <c r="J88">
        <v>4.0999999999999996</v>
      </c>
      <c r="K88">
        <v>0.8</v>
      </c>
      <c r="L88">
        <v>20</v>
      </c>
      <c r="M88">
        <v>8</v>
      </c>
      <c r="N88" t="s">
        <v>29</v>
      </c>
      <c r="O88">
        <f t="shared" si="10"/>
        <v>-20</v>
      </c>
      <c r="P88">
        <f t="shared" si="11"/>
        <v>-8</v>
      </c>
    </row>
    <row r="89" spans="1:16" x14ac:dyDescent="0.2">
      <c r="A89" t="s">
        <v>172</v>
      </c>
      <c r="B89" t="s">
        <v>182</v>
      </c>
      <c r="C89" t="s">
        <v>188</v>
      </c>
      <c r="D89" t="s">
        <v>189</v>
      </c>
      <c r="E89" t="s">
        <v>190</v>
      </c>
      <c r="F89" t="s">
        <v>22</v>
      </c>
      <c r="G89" t="s">
        <v>23</v>
      </c>
      <c r="H89">
        <v>5.8</v>
      </c>
      <c r="I89">
        <v>5.41</v>
      </c>
      <c r="J89">
        <v>7.2</v>
      </c>
      <c r="K89">
        <v>0.8</v>
      </c>
      <c r="L89">
        <v>20</v>
      </c>
      <c r="M89">
        <v>8</v>
      </c>
      <c r="N89" t="s">
        <v>29</v>
      </c>
      <c r="O89">
        <f t="shared" si="10"/>
        <v>-20</v>
      </c>
      <c r="P89">
        <f t="shared" si="11"/>
        <v>-8</v>
      </c>
    </row>
    <row r="90" spans="1:16" x14ac:dyDescent="0.2">
      <c r="A90" t="s">
        <v>172</v>
      </c>
      <c r="B90" t="s">
        <v>178</v>
      </c>
      <c r="C90" t="s">
        <v>191</v>
      </c>
      <c r="D90" t="s">
        <v>192</v>
      </c>
      <c r="E90" t="s">
        <v>193</v>
      </c>
      <c r="F90" t="s">
        <v>194</v>
      </c>
      <c r="G90" t="s">
        <v>23</v>
      </c>
      <c r="H90">
        <v>2.15</v>
      </c>
      <c r="I90">
        <v>2.1</v>
      </c>
      <c r="J90">
        <v>2.6</v>
      </c>
      <c r="K90">
        <v>1.1000000000000001</v>
      </c>
      <c r="L90">
        <v>20</v>
      </c>
      <c r="M90">
        <v>11</v>
      </c>
      <c r="N90" t="s">
        <v>39</v>
      </c>
      <c r="O90">
        <f t="shared" si="10"/>
        <v>23</v>
      </c>
      <c r="P90">
        <f t="shared" si="11"/>
        <v>12.649999999999999</v>
      </c>
    </row>
    <row r="91" spans="1:16" x14ac:dyDescent="0.2">
      <c r="A91" t="s">
        <v>172</v>
      </c>
      <c r="B91" t="s">
        <v>178</v>
      </c>
      <c r="C91" t="s">
        <v>191</v>
      </c>
      <c r="D91" t="s">
        <v>195</v>
      </c>
      <c r="E91" t="s">
        <v>196</v>
      </c>
      <c r="F91" t="s">
        <v>22</v>
      </c>
      <c r="G91" t="s">
        <v>23</v>
      </c>
      <c r="H91">
        <v>7.5</v>
      </c>
      <c r="I91">
        <v>7.07</v>
      </c>
      <c r="J91">
        <v>6</v>
      </c>
      <c r="K91">
        <v>0.5</v>
      </c>
      <c r="L91">
        <v>20</v>
      </c>
      <c r="M91">
        <v>5</v>
      </c>
      <c r="N91" t="s">
        <v>29</v>
      </c>
      <c r="O91">
        <f t="shared" si="10"/>
        <v>-20</v>
      </c>
      <c r="P91">
        <f t="shared" si="11"/>
        <v>-5</v>
      </c>
    </row>
    <row r="92" spans="1:16" x14ac:dyDescent="0.2">
      <c r="A92" t="s">
        <v>172</v>
      </c>
      <c r="B92" t="s">
        <v>178</v>
      </c>
      <c r="C92" t="s">
        <v>197</v>
      </c>
      <c r="D92" t="s">
        <v>198</v>
      </c>
      <c r="E92" t="s">
        <v>199</v>
      </c>
      <c r="F92" t="s">
        <v>22</v>
      </c>
      <c r="G92" t="s">
        <v>23</v>
      </c>
      <c r="H92">
        <v>5.75</v>
      </c>
      <c r="I92">
        <v>5.08</v>
      </c>
      <c r="J92">
        <v>13.3</v>
      </c>
      <c r="K92">
        <v>1.4</v>
      </c>
      <c r="L92">
        <v>20</v>
      </c>
      <c r="M92">
        <v>14</v>
      </c>
      <c r="N92" t="s">
        <v>39</v>
      </c>
      <c r="O92">
        <f t="shared" si="10"/>
        <v>95</v>
      </c>
      <c r="P92">
        <f t="shared" si="11"/>
        <v>66.5</v>
      </c>
    </row>
    <row r="93" spans="1:16" x14ac:dyDescent="0.2">
      <c r="A93" t="s">
        <v>172</v>
      </c>
      <c r="B93" t="s">
        <v>178</v>
      </c>
      <c r="C93" t="s">
        <v>200</v>
      </c>
      <c r="D93" t="s">
        <v>201</v>
      </c>
      <c r="E93" t="s">
        <v>202</v>
      </c>
      <c r="F93" t="s">
        <v>22</v>
      </c>
      <c r="G93" t="s">
        <v>23</v>
      </c>
      <c r="H93">
        <v>1.88</v>
      </c>
      <c r="I93">
        <v>1.82</v>
      </c>
      <c r="J93">
        <v>3.1</v>
      </c>
      <c r="K93">
        <v>1.8</v>
      </c>
      <c r="L93">
        <v>20</v>
      </c>
      <c r="M93">
        <v>18</v>
      </c>
      <c r="N93" t="s">
        <v>39</v>
      </c>
      <c r="O93">
        <f t="shared" si="10"/>
        <v>17.599999999999998</v>
      </c>
      <c r="P93">
        <f t="shared" si="11"/>
        <v>15.839999999999998</v>
      </c>
    </row>
    <row r="94" spans="1:16" x14ac:dyDescent="0.2">
      <c r="A94" t="s">
        <v>172</v>
      </c>
      <c r="B94" t="s">
        <v>178</v>
      </c>
      <c r="C94" t="s">
        <v>200</v>
      </c>
      <c r="D94" t="s">
        <v>203</v>
      </c>
      <c r="E94" t="s">
        <v>204</v>
      </c>
      <c r="F94" t="s">
        <v>22</v>
      </c>
      <c r="G94" t="s">
        <v>23</v>
      </c>
      <c r="H94">
        <v>2.85</v>
      </c>
      <c r="I94">
        <v>2.74</v>
      </c>
      <c r="J94">
        <v>4</v>
      </c>
      <c r="K94">
        <v>1.1000000000000001</v>
      </c>
      <c r="L94">
        <v>20</v>
      </c>
      <c r="M94">
        <v>11</v>
      </c>
      <c r="N94" t="s">
        <v>29</v>
      </c>
      <c r="O94">
        <f t="shared" si="10"/>
        <v>-20</v>
      </c>
      <c r="P94">
        <f t="shared" si="11"/>
        <v>-11</v>
      </c>
    </row>
    <row r="95" spans="1:16" x14ac:dyDescent="0.2">
      <c r="A95" t="s">
        <v>172</v>
      </c>
      <c r="B95" t="s">
        <v>182</v>
      </c>
      <c r="C95" t="s">
        <v>205</v>
      </c>
      <c r="D95" t="s">
        <v>206</v>
      </c>
      <c r="E95" t="s">
        <v>207</v>
      </c>
      <c r="F95" t="s">
        <v>22</v>
      </c>
      <c r="G95" t="s">
        <v>23</v>
      </c>
      <c r="H95">
        <v>3.25</v>
      </c>
      <c r="I95">
        <v>3.13</v>
      </c>
      <c r="J95">
        <v>3.8</v>
      </c>
      <c r="K95">
        <v>0.8</v>
      </c>
      <c r="L95">
        <v>20</v>
      </c>
      <c r="M95">
        <v>8</v>
      </c>
      <c r="N95" t="s">
        <v>29</v>
      </c>
      <c r="O95">
        <f t="shared" si="10"/>
        <v>-20</v>
      </c>
      <c r="P95">
        <f t="shared" si="11"/>
        <v>-8</v>
      </c>
    </row>
    <row r="96" spans="1:16" x14ac:dyDescent="0.2">
      <c r="A96" t="s">
        <v>172</v>
      </c>
      <c r="B96" t="s">
        <v>182</v>
      </c>
      <c r="C96" t="s">
        <v>208</v>
      </c>
      <c r="D96" t="s">
        <v>209</v>
      </c>
      <c r="E96" t="s">
        <v>210</v>
      </c>
      <c r="F96" t="s">
        <v>22</v>
      </c>
      <c r="G96" t="s">
        <v>23</v>
      </c>
      <c r="H96">
        <v>2.23</v>
      </c>
      <c r="I96">
        <v>2.15</v>
      </c>
      <c r="J96">
        <v>3.7</v>
      </c>
      <c r="K96">
        <v>1.5</v>
      </c>
      <c r="L96">
        <v>20</v>
      </c>
      <c r="M96">
        <v>15</v>
      </c>
      <c r="N96" t="s">
        <v>39</v>
      </c>
      <c r="O96">
        <f t="shared" si="10"/>
        <v>24.6</v>
      </c>
      <c r="P96">
        <f t="shared" si="11"/>
        <v>18.45</v>
      </c>
    </row>
    <row r="98" spans="1:16" x14ac:dyDescent="0.2">
      <c r="A98" t="s">
        <v>211</v>
      </c>
      <c r="B98" t="s">
        <v>212</v>
      </c>
      <c r="C98" t="s">
        <v>26</v>
      </c>
      <c r="D98" t="s">
        <v>213</v>
      </c>
      <c r="E98" t="s">
        <v>214</v>
      </c>
      <c r="F98" t="s">
        <v>22</v>
      </c>
      <c r="G98" t="s">
        <v>23</v>
      </c>
      <c r="H98">
        <v>2.6</v>
      </c>
      <c r="I98">
        <v>2.5299999999999998</v>
      </c>
      <c r="J98">
        <v>2.6</v>
      </c>
      <c r="K98">
        <v>0.8</v>
      </c>
      <c r="L98">
        <v>20</v>
      </c>
      <c r="M98">
        <v>8</v>
      </c>
      <c r="N98" t="s">
        <v>29</v>
      </c>
      <c r="O98">
        <f t="shared" ref="O98:O105" si="12">IF(UPPER(N98)="W",(H98-1)*L98,IF(UPPER(N98)="L",-L98,""))</f>
        <v>-20</v>
      </c>
      <c r="P98">
        <f t="shared" ref="P98:P105" si="13">IF(UPPER(N98)="W",(H98-1)*M98,IF(UPPER(N98)="L",-M98,""))</f>
        <v>-8</v>
      </c>
    </row>
    <row r="99" spans="1:16" x14ac:dyDescent="0.2">
      <c r="A99" t="s">
        <v>211</v>
      </c>
      <c r="B99" t="s">
        <v>215</v>
      </c>
      <c r="C99" t="s">
        <v>191</v>
      </c>
      <c r="D99" t="s">
        <v>216</v>
      </c>
      <c r="E99" t="s">
        <v>217</v>
      </c>
      <c r="F99" t="s">
        <v>22</v>
      </c>
      <c r="G99" t="s">
        <v>23</v>
      </c>
      <c r="H99">
        <v>3.6</v>
      </c>
      <c r="I99">
        <v>3.47</v>
      </c>
      <c r="J99">
        <v>3.9</v>
      </c>
      <c r="K99">
        <v>0.7</v>
      </c>
      <c r="L99">
        <v>20</v>
      </c>
      <c r="M99">
        <v>7</v>
      </c>
      <c r="N99" t="s">
        <v>29</v>
      </c>
      <c r="O99">
        <f t="shared" si="12"/>
        <v>-20</v>
      </c>
      <c r="P99">
        <f t="shared" si="13"/>
        <v>-7</v>
      </c>
    </row>
    <row r="100" spans="1:16" x14ac:dyDescent="0.2">
      <c r="A100" t="s">
        <v>211</v>
      </c>
      <c r="B100" t="s">
        <v>215</v>
      </c>
      <c r="C100" t="s">
        <v>197</v>
      </c>
      <c r="D100" t="s">
        <v>218</v>
      </c>
      <c r="E100" t="s">
        <v>28</v>
      </c>
      <c r="F100" t="s">
        <v>22</v>
      </c>
      <c r="G100" t="s">
        <v>23</v>
      </c>
      <c r="H100">
        <v>4</v>
      </c>
      <c r="I100">
        <v>3.87</v>
      </c>
      <c r="J100">
        <v>3.5</v>
      </c>
      <c r="K100">
        <v>0.6</v>
      </c>
      <c r="L100">
        <v>20</v>
      </c>
      <c r="M100">
        <v>6</v>
      </c>
      <c r="N100" t="s">
        <v>29</v>
      </c>
      <c r="O100">
        <f t="shared" si="12"/>
        <v>-20</v>
      </c>
      <c r="P100">
        <f t="shared" si="13"/>
        <v>-6</v>
      </c>
    </row>
    <row r="101" spans="1:16" x14ac:dyDescent="0.2">
      <c r="A101" t="s">
        <v>211</v>
      </c>
      <c r="B101" t="s">
        <v>215</v>
      </c>
      <c r="C101" t="s">
        <v>219</v>
      </c>
      <c r="D101" t="s">
        <v>220</v>
      </c>
      <c r="E101" t="s">
        <v>221</v>
      </c>
      <c r="F101" t="s">
        <v>22</v>
      </c>
      <c r="G101" t="s">
        <v>23</v>
      </c>
      <c r="H101">
        <v>3.9</v>
      </c>
      <c r="I101">
        <v>3.49</v>
      </c>
      <c r="J101">
        <v>11.7</v>
      </c>
      <c r="K101">
        <v>2</v>
      </c>
      <c r="L101">
        <v>20</v>
      </c>
      <c r="M101">
        <v>20</v>
      </c>
      <c r="N101" t="s">
        <v>29</v>
      </c>
      <c r="O101">
        <f t="shared" si="12"/>
        <v>-20</v>
      </c>
      <c r="P101">
        <f t="shared" si="13"/>
        <v>-20</v>
      </c>
    </row>
    <row r="102" spans="1:16" x14ac:dyDescent="0.2">
      <c r="A102" t="s">
        <v>211</v>
      </c>
      <c r="B102" t="s">
        <v>215</v>
      </c>
      <c r="C102" t="s">
        <v>166</v>
      </c>
      <c r="D102" t="s">
        <v>222</v>
      </c>
      <c r="E102" t="s">
        <v>28</v>
      </c>
      <c r="F102" t="s">
        <v>22</v>
      </c>
      <c r="G102" t="s">
        <v>23</v>
      </c>
      <c r="H102">
        <v>3.7</v>
      </c>
      <c r="I102">
        <v>3.6</v>
      </c>
      <c r="J102">
        <v>2.8</v>
      </c>
      <c r="K102">
        <v>0.5</v>
      </c>
      <c r="L102">
        <v>20</v>
      </c>
      <c r="M102">
        <v>5</v>
      </c>
      <c r="N102" t="s">
        <v>39</v>
      </c>
      <c r="O102">
        <f t="shared" si="12"/>
        <v>54</v>
      </c>
      <c r="P102">
        <f t="shared" si="13"/>
        <v>13.5</v>
      </c>
    </row>
    <row r="103" spans="1:16" x14ac:dyDescent="0.2">
      <c r="A103" t="s">
        <v>211</v>
      </c>
      <c r="B103" t="s">
        <v>212</v>
      </c>
      <c r="C103" t="s">
        <v>145</v>
      </c>
      <c r="D103" t="s">
        <v>223</v>
      </c>
      <c r="E103" t="s">
        <v>224</v>
      </c>
      <c r="F103" t="s">
        <v>22</v>
      </c>
      <c r="G103" t="s">
        <v>23</v>
      </c>
      <c r="H103">
        <v>4.3</v>
      </c>
      <c r="I103">
        <v>4.1100000000000003</v>
      </c>
      <c r="J103">
        <v>4.7</v>
      </c>
      <c r="K103">
        <v>0.7</v>
      </c>
      <c r="L103">
        <v>20</v>
      </c>
      <c r="M103">
        <v>7</v>
      </c>
      <c r="N103" t="s">
        <v>29</v>
      </c>
      <c r="O103">
        <f t="shared" si="12"/>
        <v>-20</v>
      </c>
      <c r="P103">
        <f t="shared" si="13"/>
        <v>-7</v>
      </c>
    </row>
    <row r="104" spans="1:16" x14ac:dyDescent="0.2">
      <c r="A104" t="s">
        <v>211</v>
      </c>
      <c r="B104" t="s">
        <v>215</v>
      </c>
      <c r="C104" t="s">
        <v>225</v>
      </c>
      <c r="D104" t="s">
        <v>226</v>
      </c>
      <c r="E104" t="s">
        <v>28</v>
      </c>
      <c r="F104" t="s">
        <v>22</v>
      </c>
      <c r="G104" t="s">
        <v>23</v>
      </c>
      <c r="H104">
        <v>3.35</v>
      </c>
      <c r="I104">
        <v>3.22</v>
      </c>
      <c r="J104">
        <v>4</v>
      </c>
      <c r="K104">
        <v>0.9</v>
      </c>
      <c r="L104">
        <v>20</v>
      </c>
      <c r="M104">
        <v>9</v>
      </c>
      <c r="N104" t="s">
        <v>39</v>
      </c>
      <c r="O104">
        <f t="shared" si="12"/>
        <v>47</v>
      </c>
      <c r="P104">
        <f t="shared" si="13"/>
        <v>21.150000000000002</v>
      </c>
    </row>
    <row r="105" spans="1:16" x14ac:dyDescent="0.2">
      <c r="A105" t="s">
        <v>211</v>
      </c>
      <c r="B105" t="s">
        <v>211</v>
      </c>
      <c r="C105" t="s">
        <v>227</v>
      </c>
      <c r="D105" t="s">
        <v>228</v>
      </c>
      <c r="E105" t="s">
        <v>229</v>
      </c>
      <c r="F105" t="s">
        <v>22</v>
      </c>
      <c r="G105" t="s">
        <v>23</v>
      </c>
      <c r="H105">
        <v>2.63</v>
      </c>
      <c r="I105">
        <v>2.56</v>
      </c>
      <c r="J105">
        <v>2.6</v>
      </c>
      <c r="K105">
        <v>0.8</v>
      </c>
      <c r="L105">
        <v>20</v>
      </c>
      <c r="M105">
        <v>8</v>
      </c>
      <c r="N105" t="s">
        <v>29</v>
      </c>
      <c r="O105">
        <f t="shared" si="12"/>
        <v>-20</v>
      </c>
      <c r="P105">
        <f t="shared" si="13"/>
        <v>-8</v>
      </c>
    </row>
    <row r="107" spans="1:16" x14ac:dyDescent="0.2">
      <c r="A107" t="s">
        <v>230</v>
      </c>
      <c r="B107" t="s">
        <v>230</v>
      </c>
      <c r="C107" t="s">
        <v>86</v>
      </c>
      <c r="D107" t="s">
        <v>231</v>
      </c>
      <c r="E107" t="s">
        <v>232</v>
      </c>
      <c r="F107" t="s">
        <v>22</v>
      </c>
      <c r="G107" t="s">
        <v>23</v>
      </c>
      <c r="H107">
        <v>8.5</v>
      </c>
      <c r="I107">
        <v>7.97</v>
      </c>
      <c r="J107">
        <v>6.6</v>
      </c>
      <c r="K107">
        <v>0.4</v>
      </c>
      <c r="L107">
        <v>20</v>
      </c>
      <c r="M107">
        <v>4</v>
      </c>
      <c r="N107" t="s">
        <v>29</v>
      </c>
      <c r="O107">
        <f>IF(UPPER(N107)="W",(H107-1)*L107,IF(UPPER(N107)="L",-L107,""))</f>
        <v>-20</v>
      </c>
      <c r="P107">
        <f>IF(UPPER(N107)="W",(H107-1)*M107,IF(UPPER(N107)="L",-M107,""))</f>
        <v>-4</v>
      </c>
    </row>
    <row r="108" spans="1:16" x14ac:dyDescent="0.2">
      <c r="A108" t="s">
        <v>230</v>
      </c>
      <c r="B108" t="s">
        <v>230</v>
      </c>
      <c r="C108" t="s">
        <v>86</v>
      </c>
      <c r="D108" t="s">
        <v>233</v>
      </c>
      <c r="E108" t="s">
        <v>234</v>
      </c>
      <c r="F108" t="s">
        <v>22</v>
      </c>
      <c r="G108" t="s">
        <v>23</v>
      </c>
      <c r="H108">
        <v>4.4000000000000004</v>
      </c>
      <c r="I108">
        <v>2.57</v>
      </c>
      <c r="J108">
        <v>71</v>
      </c>
      <c r="K108">
        <v>10.4</v>
      </c>
      <c r="L108">
        <v>20</v>
      </c>
      <c r="M108">
        <v>104</v>
      </c>
      <c r="N108" t="s">
        <v>29</v>
      </c>
      <c r="O108">
        <f>IF(UPPER(N108)="W",(H108-1)*L108,IF(UPPER(N108)="L",-L108,""))</f>
        <v>-20</v>
      </c>
      <c r="P108">
        <f>IF(UPPER(N108)="W",(H108-1)*M108,IF(UPPER(N108)="L",-M108,""))</f>
        <v>-104</v>
      </c>
    </row>
    <row r="109" spans="1:16" x14ac:dyDescent="0.2">
      <c r="A109" t="s">
        <v>230</v>
      </c>
      <c r="B109" t="s">
        <v>230</v>
      </c>
      <c r="C109" t="s">
        <v>235</v>
      </c>
      <c r="D109" t="s">
        <v>236</v>
      </c>
      <c r="E109" t="s">
        <v>28</v>
      </c>
      <c r="F109" t="s">
        <v>22</v>
      </c>
      <c r="G109" t="s">
        <v>23</v>
      </c>
      <c r="H109">
        <v>3.8</v>
      </c>
      <c r="I109">
        <v>3.68</v>
      </c>
      <c r="J109">
        <v>3.3</v>
      </c>
      <c r="K109">
        <v>0.6</v>
      </c>
      <c r="L109">
        <v>20</v>
      </c>
      <c r="M109">
        <v>6</v>
      </c>
      <c r="N109" t="s">
        <v>29</v>
      </c>
      <c r="O109">
        <f>IF(UPPER(N109)="W",(H109-1)*L109,IF(UPPER(N109)="L",-L109,""))</f>
        <v>-20</v>
      </c>
      <c r="P109">
        <f>IF(UPPER(N109)="W",(H109-1)*M109,IF(UPPER(N109)="L",-M109,""))</f>
        <v>-6</v>
      </c>
    </row>
    <row r="110" spans="1:16" x14ac:dyDescent="0.2">
      <c r="A110" t="s">
        <v>230</v>
      </c>
      <c r="B110" t="s">
        <v>230</v>
      </c>
      <c r="C110" t="s">
        <v>237</v>
      </c>
      <c r="D110" t="s">
        <v>238</v>
      </c>
      <c r="E110" t="s">
        <v>239</v>
      </c>
      <c r="F110" t="s">
        <v>22</v>
      </c>
      <c r="G110" t="s">
        <v>23</v>
      </c>
      <c r="H110">
        <v>5.6</v>
      </c>
      <c r="I110">
        <v>5.42</v>
      </c>
      <c r="J110">
        <v>3.3</v>
      </c>
      <c r="K110">
        <v>0.4</v>
      </c>
      <c r="L110">
        <v>20</v>
      </c>
      <c r="M110">
        <v>4</v>
      </c>
      <c r="N110" t="s">
        <v>29</v>
      </c>
      <c r="O110">
        <f>IF(UPPER(N110)="W",(H110-1)*L110,IF(UPPER(N110)="L",-L110,""))</f>
        <v>-20</v>
      </c>
      <c r="P110">
        <f>IF(UPPER(N110)="W",(H110-1)*M110,IF(UPPER(N110)="L",-M110,""))</f>
        <v>-4</v>
      </c>
    </row>
    <row r="112" spans="1:16" x14ac:dyDescent="0.2">
      <c r="A112" t="s">
        <v>240</v>
      </c>
      <c r="B112" t="s">
        <v>240</v>
      </c>
      <c r="C112" t="s">
        <v>241</v>
      </c>
      <c r="D112" t="s">
        <v>242</v>
      </c>
      <c r="E112" t="s">
        <v>243</v>
      </c>
      <c r="F112" t="s">
        <v>22</v>
      </c>
      <c r="G112" t="s">
        <v>23</v>
      </c>
      <c r="H112">
        <v>11</v>
      </c>
      <c r="I112">
        <v>6.86</v>
      </c>
      <c r="J112">
        <v>60.4</v>
      </c>
      <c r="K112">
        <v>3</v>
      </c>
      <c r="L112">
        <v>20</v>
      </c>
      <c r="M112">
        <v>30</v>
      </c>
      <c r="N112" t="s">
        <v>39</v>
      </c>
      <c r="O112">
        <f>IF(UPPER(N112)="W",(H112-1)*L112,IF(UPPER(N112)="L",-L112,""))</f>
        <v>200</v>
      </c>
      <c r="P112">
        <f>IF(UPPER(N112)="W",(H112-1)*M112,IF(UPPER(N112)="L",-M112,""))</f>
        <v>300</v>
      </c>
    </row>
    <row r="114" spans="1:16" x14ac:dyDescent="0.2">
      <c r="A114" t="s">
        <v>244</v>
      </c>
      <c r="B114" t="s">
        <v>245</v>
      </c>
      <c r="C114" t="s">
        <v>246</v>
      </c>
      <c r="D114" t="s">
        <v>247</v>
      </c>
      <c r="E114" t="s">
        <v>248</v>
      </c>
      <c r="F114" t="s">
        <v>22</v>
      </c>
      <c r="G114" t="s">
        <v>23</v>
      </c>
      <c r="H114">
        <v>4.5</v>
      </c>
      <c r="I114">
        <v>4.2699999999999996</v>
      </c>
      <c r="J114">
        <v>5.3</v>
      </c>
      <c r="K114">
        <v>0.8</v>
      </c>
      <c r="L114">
        <v>20</v>
      </c>
      <c r="M114">
        <v>8</v>
      </c>
      <c r="O114" t="str">
        <f>IF(UPPER(N114)="W",(H114-1)*L114,IF(UPPER(N114)="L",-L114,""))</f>
        <v/>
      </c>
      <c r="P114" t="str">
        <f>IF(UPPER(N114)="W",(H114-1)*M114,IF(UPPER(N114)="L",-M114,""))</f>
        <v/>
      </c>
    </row>
    <row r="115" spans="1:16" x14ac:dyDescent="0.2">
      <c r="A115" t="s">
        <v>244</v>
      </c>
      <c r="B115" t="s">
        <v>249</v>
      </c>
      <c r="C115" t="s">
        <v>179</v>
      </c>
      <c r="D115" t="s">
        <v>250</v>
      </c>
      <c r="E115" t="s">
        <v>251</v>
      </c>
      <c r="F115" t="s">
        <v>22</v>
      </c>
      <c r="G115" t="s">
        <v>23</v>
      </c>
      <c r="H115">
        <v>3.25</v>
      </c>
      <c r="I115">
        <v>3.07</v>
      </c>
      <c r="J115">
        <v>6</v>
      </c>
      <c r="K115">
        <v>1.3</v>
      </c>
      <c r="L115">
        <v>20</v>
      </c>
      <c r="M115">
        <v>13</v>
      </c>
      <c r="O115" t="str">
        <f>IF(UPPER(N115)="W",(H115-1)*L115,IF(UPPER(N115)="L",-L115,""))</f>
        <v/>
      </c>
      <c r="P115" t="str">
        <f>IF(UPPER(N115)="W",(H115-1)*M115,IF(UPPER(N115)="L",-M115,""))</f>
        <v/>
      </c>
    </row>
    <row r="116" spans="1:16" x14ac:dyDescent="0.2">
      <c r="A116" t="s">
        <v>244</v>
      </c>
      <c r="B116" t="s">
        <v>249</v>
      </c>
      <c r="C116" t="s">
        <v>252</v>
      </c>
      <c r="D116" t="s">
        <v>253</v>
      </c>
      <c r="E116" t="s">
        <v>28</v>
      </c>
      <c r="F116" t="s">
        <v>22</v>
      </c>
      <c r="G116" t="s">
        <v>23</v>
      </c>
      <c r="H116">
        <v>3.85</v>
      </c>
      <c r="I116">
        <v>3.64</v>
      </c>
      <c r="J116">
        <v>5.8</v>
      </c>
      <c r="K116">
        <v>1</v>
      </c>
      <c r="L116">
        <v>20</v>
      </c>
      <c r="M116">
        <v>10</v>
      </c>
      <c r="O116" t="str">
        <f>IF(UPPER(N116)="W",(H116-1)*L116,IF(UPPER(N116)="L",-L116,""))</f>
        <v/>
      </c>
      <c r="P116" t="str">
        <f>IF(UPPER(N116)="W",(H116-1)*M116,IF(UPPER(N116)="L",-M116,""))</f>
        <v/>
      </c>
    </row>
    <row r="117" spans="1:16" x14ac:dyDescent="0.2">
      <c r="A117" t="s">
        <v>244</v>
      </c>
      <c r="B117" t="s">
        <v>249</v>
      </c>
      <c r="C117" t="s">
        <v>205</v>
      </c>
      <c r="D117" t="s">
        <v>254</v>
      </c>
      <c r="E117" t="s">
        <v>255</v>
      </c>
      <c r="F117" t="s">
        <v>22</v>
      </c>
      <c r="G117" t="s">
        <v>23</v>
      </c>
      <c r="H117">
        <v>6</v>
      </c>
      <c r="I117">
        <v>5.75</v>
      </c>
      <c r="J117">
        <v>4.3</v>
      </c>
      <c r="K117">
        <v>0.4</v>
      </c>
      <c r="L117">
        <v>20</v>
      </c>
      <c r="M117">
        <v>4</v>
      </c>
      <c r="O117" t="str">
        <f>IF(UPPER(N117)="W",(H117-1)*L117,IF(UPPER(N117)="L",-L117,""))</f>
        <v/>
      </c>
      <c r="P117" t="str">
        <f>IF(UPPER(N117)="W",(H117-1)*M117,IF(UPPER(N117)="L",-M117,""))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Sayadi</cp:lastModifiedBy>
  <dcterms:created xsi:type="dcterms:W3CDTF">2026-06-29T11:54:16Z</dcterms:created>
  <dcterms:modified xsi:type="dcterms:W3CDTF">2026-10-07T09:39:13Z</dcterms:modified>
</cp:coreProperties>
</file>