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6660" tabRatio="600" firstSheet="0" activeTab="0" autoFilterDateGrouping="1"/>
  </bookViews>
  <sheets>
    <sheet name="Bet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7"/>
  <sheetViews>
    <sheetView tabSelected="1" topLeftCell="A87" workbookViewId="0">
      <selection activeCell="N113" sqref="N113"/>
    </sheetView>
  </sheetViews>
  <sheetFormatPr baseColWidth="10" defaultColWidth="8.83203125" defaultRowHeight="15"/>
  <cols>
    <col width="14" customWidth="1" min="1" max="1"/>
    <col width="12" customWidth="1" min="2" max="2"/>
    <col width="27.83203125" customWidth="1" min="3" max="3"/>
    <col width="37.5" customWidth="1" min="4" max="4"/>
    <col width="20" customWidth="1" min="5" max="5"/>
    <col width="10" customWidth="1" min="6" max="6"/>
    <col width="15" customWidth="1" min="7" max="7"/>
    <col width="8" customWidth="1" min="8" max="8"/>
    <col width="14" customWidth="1" min="9" max="9"/>
    <col width="8" customWidth="1" min="10" max="11"/>
    <col width="14" customWidth="1" min="12" max="13"/>
    <col width="10" customWidth="1" min="14" max="14"/>
    <col width="12" customWidth="1" min="15" max="16"/>
    <col width="16.1640625" customWidth="1" min="17" max="17"/>
    <col width="12.5" customWidth="1" min="18" max="18"/>
    <col width="10.33203125" bestFit="1" customWidth="1" min="19" max="19"/>
  </cols>
  <sheetData>
    <row r="1">
      <c r="A1" t="inlineStr">
        <is>
          <t>Datum loggad</t>
        </is>
      </c>
      <c r="B1" t="inlineStr">
        <is>
          <t>Matchdatum</t>
        </is>
      </c>
      <c r="C1" t="inlineStr">
        <is>
          <t>Sport</t>
        </is>
      </c>
      <c r="D1" t="inlineStr">
        <is>
          <t>Match</t>
        </is>
      </c>
      <c r="E1" t="inlineStr">
        <is>
          <t>Lag</t>
        </is>
      </c>
      <c r="F1" t="inlineStr">
        <is>
          <t>Marknad</t>
        </is>
      </c>
      <c r="G1" t="inlineStr">
        <is>
          <t>Bookmaker</t>
        </is>
      </c>
      <c r="H1" t="inlineStr">
        <is>
          <t>Odds</t>
        </is>
      </c>
      <c r="I1" t="inlineStr">
        <is>
          <t>Rättvisa odds</t>
        </is>
      </c>
      <c r="J1" t="inlineStr">
        <is>
          <t>Edge %</t>
        </is>
      </c>
      <c r="K1" t="inlineStr">
        <is>
          <t>Units</t>
        </is>
      </c>
      <c r="L1" t="inlineStr">
        <is>
          <t>Insats Flat (kr)</t>
        </is>
      </c>
      <c r="M1" t="inlineStr">
        <is>
          <t>Insats Kelly (kr)</t>
        </is>
      </c>
      <c r="N1" t="inlineStr">
        <is>
          <t>Resultat</t>
        </is>
      </c>
      <c r="O1" t="inlineStr">
        <is>
          <t>V/F Flat</t>
        </is>
      </c>
      <c r="P1" t="inlineStr">
        <is>
          <t>V/F Kelly</t>
        </is>
      </c>
      <c r="R1" t="inlineStr">
        <is>
          <t>startkapital</t>
        </is>
      </c>
      <c r="S1" t="n">
        <v>1000</v>
      </c>
    </row>
    <row r="3">
      <c r="A3" t="inlineStr">
        <is>
          <t>2026-06-29</t>
        </is>
      </c>
      <c r="B3" t="inlineStr">
        <is>
          <t>2026-07-18</t>
        </is>
      </c>
      <c r="C3" t="inlineStr">
        <is>
          <t>soccer_brazil_campeonato</t>
        </is>
      </c>
      <c r="D3" t="inlineStr">
        <is>
          <t>Fluminense vs Bragantino-SP</t>
        </is>
      </c>
      <c r="E3" t="inlineStr">
        <is>
          <t>Bragantino-SP</t>
        </is>
      </c>
      <c r="F3" t="inlineStr">
        <is>
          <t>h2h</t>
        </is>
      </c>
      <c r="G3" t="inlineStr">
        <is>
          <t>Unibet (SE)</t>
        </is>
      </c>
      <c r="H3" t="n">
        <v>4.5</v>
      </c>
      <c r="I3" t="n">
        <v>4.36</v>
      </c>
      <c r="J3" t="n">
        <v>3.2</v>
      </c>
      <c r="K3" t="n">
        <v>0.5</v>
      </c>
      <c r="L3" t="n">
        <v>20</v>
      </c>
      <c r="M3" t="n">
        <v>5</v>
      </c>
      <c r="O3">
        <f>IF(UPPER(N3)="W",(H3-1)*L3,IF(UPPER(N3)="L",-L3,""))</f>
        <v/>
      </c>
      <c r="P3">
        <f>IF(UPPER(N3)="W",(H3-1)*M3,IF(UPPER(N3)="L",-M3,""))</f>
        <v/>
      </c>
      <c r="R3" t="inlineStr">
        <is>
          <t>Profit Flat</t>
        </is>
      </c>
      <c r="S3">
        <f>SUM(O:O)</f>
        <v/>
      </c>
    </row>
    <row r="4">
      <c r="A4" t="inlineStr">
        <is>
          <t>2026-06-29</t>
        </is>
      </c>
      <c r="B4" t="inlineStr">
        <is>
          <t>2026-06-30</t>
        </is>
      </c>
      <c r="C4" t="inlineStr">
        <is>
          <t>soccer_brazil_serie_b</t>
        </is>
      </c>
      <c r="D4" t="inlineStr">
        <is>
          <t>Botafogo vs Clube de Regatas Brasil</t>
        </is>
      </c>
      <c r="E4" t="inlineStr">
        <is>
          <t>Draw</t>
        </is>
      </c>
      <c r="F4" t="inlineStr">
        <is>
          <t>h2h</t>
        </is>
      </c>
      <c r="G4" t="inlineStr">
        <is>
          <t>Unibet (SE)</t>
        </is>
      </c>
      <c r="H4" t="n">
        <v>3.05</v>
      </c>
      <c r="I4" t="n">
        <v>2.83</v>
      </c>
      <c r="J4" t="n">
        <v>7.7</v>
      </c>
      <c r="K4" t="n">
        <v>1.9</v>
      </c>
      <c r="L4" t="n">
        <v>20</v>
      </c>
      <c r="M4" t="n">
        <v>19</v>
      </c>
      <c r="N4" t="inlineStr">
        <is>
          <t>l</t>
        </is>
      </c>
      <c r="O4">
        <f>IF(UPPER(N4)="W",(H4-1)*L4,IF(UPPER(N4)="L",-L4,""))</f>
        <v/>
      </c>
      <c r="P4">
        <f>IF(UPPER(N4)="W",(H4-1)*M4,IF(UPPER(N4)="L",-M4,""))</f>
        <v/>
      </c>
      <c r="R4" t="inlineStr">
        <is>
          <t>Bankroll Flat</t>
        </is>
      </c>
      <c r="S4">
        <f>SUM(S1+S3)</f>
        <v/>
      </c>
    </row>
    <row r="5">
      <c r="A5" t="inlineStr">
        <is>
          <t>2026-06-29</t>
        </is>
      </c>
      <c r="B5" t="inlineStr">
        <is>
          <t>2026-07-01</t>
        </is>
      </c>
      <c r="C5" t="inlineStr">
        <is>
          <t>soccer_fifa_world_cup</t>
        </is>
      </c>
      <c r="D5" t="inlineStr">
        <is>
          <t>England vs DR Congo</t>
        </is>
      </c>
      <c r="E5" t="inlineStr">
        <is>
          <t>DR Congo</t>
        </is>
      </c>
      <c r="F5" t="inlineStr">
        <is>
          <t>h2h</t>
        </is>
      </c>
      <c r="G5" t="inlineStr">
        <is>
          <t>Unibet (SE)</t>
        </is>
      </c>
      <c r="H5" t="n">
        <v>16</v>
      </c>
      <c r="I5" t="n">
        <v>14.49</v>
      </c>
      <c r="J5" t="n">
        <v>10.4</v>
      </c>
      <c r="K5" t="n">
        <v>0.3</v>
      </c>
      <c r="L5" t="n">
        <v>20</v>
      </c>
      <c r="M5" t="n">
        <v>3</v>
      </c>
      <c r="N5" t="inlineStr">
        <is>
          <t>l</t>
        </is>
      </c>
      <c r="O5">
        <f>IF(UPPER(N5)="W",(H5-1)*L5,IF(UPPER(N5)="L",-L5,""))</f>
        <v/>
      </c>
      <c r="P5">
        <f>IF(UPPER(N5)="W",(H5-1)*M5,IF(UPPER(N5)="L",-M5,""))</f>
        <v/>
      </c>
    </row>
    <row r="6">
      <c r="A6" t="inlineStr">
        <is>
          <t>2026-06-29</t>
        </is>
      </c>
      <c r="B6" t="inlineStr">
        <is>
          <t>2026-07-03</t>
        </is>
      </c>
      <c r="C6" t="inlineStr">
        <is>
          <t>soccer_sweden_allsvenskan</t>
        </is>
      </c>
      <c r="D6" t="inlineStr">
        <is>
          <t>IK Sirius vs Mjällby AIF</t>
        </is>
      </c>
      <c r="E6" t="inlineStr">
        <is>
          <t>IK Sirius</t>
        </is>
      </c>
      <c r="F6" t="inlineStr">
        <is>
          <t>h2h</t>
        </is>
      </c>
      <c r="G6" t="inlineStr">
        <is>
          <t>Unibet (SE)</t>
        </is>
      </c>
      <c r="H6" t="n">
        <v>1.79</v>
      </c>
      <c r="I6" t="n">
        <v>1.74</v>
      </c>
      <c r="J6" t="n">
        <v>3</v>
      </c>
      <c r="K6" t="n">
        <v>1.9</v>
      </c>
      <c r="L6" t="n">
        <v>20</v>
      </c>
      <c r="M6" t="n">
        <v>19</v>
      </c>
      <c r="N6" t="inlineStr">
        <is>
          <t>w</t>
        </is>
      </c>
      <c r="O6">
        <f>IF(UPPER(N6)="W",(H6-1)*L6,IF(UPPER(N6)="L",-L6,""))</f>
        <v/>
      </c>
      <c r="P6">
        <f>IF(UPPER(N6)="W",(H6-1)*M6,IF(UPPER(N6)="L",-M6,""))</f>
        <v/>
      </c>
      <c r="R6" t="inlineStr">
        <is>
          <t>Profit Kelly</t>
        </is>
      </c>
      <c r="S6">
        <f>SUM(P:P)</f>
        <v/>
      </c>
    </row>
    <row r="7">
      <c r="A7" t="inlineStr">
        <is>
          <t>2026-06-29</t>
        </is>
      </c>
      <c r="B7" t="inlineStr">
        <is>
          <t>2026-07-05</t>
        </is>
      </c>
      <c r="C7" t="inlineStr">
        <is>
          <t>soccer_sweden_allsvenskan</t>
        </is>
      </c>
      <c r="D7" t="inlineStr">
        <is>
          <t>IF Elfsborg vs Hammarby IF</t>
        </is>
      </c>
      <c r="E7" t="inlineStr">
        <is>
          <t>IF Elfsborg</t>
        </is>
      </c>
      <c r="F7" t="inlineStr">
        <is>
          <t>h2h</t>
        </is>
      </c>
      <c r="G7" t="inlineStr">
        <is>
          <t>Unibet (SE)</t>
        </is>
      </c>
      <c r="H7" t="n">
        <v>4.2</v>
      </c>
      <c r="I7" t="n">
        <v>4.02</v>
      </c>
      <c r="J7" t="n">
        <v>4.4</v>
      </c>
      <c r="K7" t="n">
        <v>0.7</v>
      </c>
      <c r="L7" t="n">
        <v>20</v>
      </c>
      <c r="M7" t="n">
        <v>7</v>
      </c>
      <c r="N7" t="inlineStr">
        <is>
          <t>l</t>
        </is>
      </c>
      <c r="O7">
        <f>IF(UPPER(N7)="W",(H7-1)*L7,IF(UPPER(N7)="L",-L7,""))</f>
        <v/>
      </c>
      <c r="P7">
        <f>IF(UPPER(N7)="W",(H7-1)*M7,IF(UPPER(N7)="L",-M7,""))</f>
        <v/>
      </c>
      <c r="R7" t="inlineStr">
        <is>
          <t>Bankroll Kelly</t>
        </is>
      </c>
      <c r="S7">
        <f>SUM(S1+S6)</f>
        <v/>
      </c>
    </row>
    <row r="8">
      <c r="A8" t="inlineStr">
        <is>
          <t>2026-06-29</t>
        </is>
      </c>
      <c r="B8" t="inlineStr">
        <is>
          <t>2026-07-06</t>
        </is>
      </c>
      <c r="C8" t="inlineStr">
        <is>
          <t>soccer_sweden_allsvenskan</t>
        </is>
      </c>
      <c r="D8" t="inlineStr">
        <is>
          <t>IF Brommapojkarna vs GAIS</t>
        </is>
      </c>
      <c r="E8" t="inlineStr">
        <is>
          <t>GAIS</t>
        </is>
      </c>
      <c r="F8" t="inlineStr">
        <is>
          <t>h2h</t>
        </is>
      </c>
      <c r="G8" t="inlineStr">
        <is>
          <t>Unibet (SE)</t>
        </is>
      </c>
      <c r="H8" t="n">
        <v>2.28</v>
      </c>
      <c r="I8" t="n">
        <v>2.21</v>
      </c>
      <c r="J8" t="n">
        <v>3.1</v>
      </c>
      <c r="K8" t="n">
        <v>1.2</v>
      </c>
      <c r="L8" t="n">
        <v>20</v>
      </c>
      <c r="M8" t="n">
        <v>12</v>
      </c>
      <c r="O8">
        <f>IF(UPPER(N8)="W",(H8-1)*L8,IF(UPPER(N8)="L",-L8,""))</f>
        <v/>
      </c>
      <c r="P8">
        <f>IF(UPPER(N8)="W",(H8-1)*M8,IF(UPPER(N8)="L",-M8,""))</f>
        <v/>
      </c>
    </row>
    <row r="9">
      <c r="A9" t="inlineStr">
        <is>
          <t>2026-06-29</t>
        </is>
      </c>
      <c r="B9" t="inlineStr">
        <is>
          <t>2026-07-05</t>
        </is>
      </c>
      <c r="C9" t="inlineStr">
        <is>
          <t>soccer_sweden_allsvenskan</t>
        </is>
      </c>
      <c r="D9" t="inlineStr">
        <is>
          <t>IFK Goteborg vs AIK</t>
        </is>
      </c>
      <c r="E9" t="inlineStr">
        <is>
          <t>IFK Goteborg</t>
        </is>
      </c>
      <c r="F9" t="inlineStr">
        <is>
          <t>h2h</t>
        </is>
      </c>
      <c r="G9" t="inlineStr">
        <is>
          <t>Unibet (SE)</t>
        </is>
      </c>
      <c r="H9" t="n">
        <v>2.43</v>
      </c>
      <c r="I9" t="n">
        <v>2.34</v>
      </c>
      <c r="J9" t="n">
        <v>3.6</v>
      </c>
      <c r="K9" t="n">
        <v>1.3</v>
      </c>
      <c r="L9" t="n">
        <v>20</v>
      </c>
      <c r="M9" t="n">
        <v>13</v>
      </c>
      <c r="N9" t="inlineStr">
        <is>
          <t>l</t>
        </is>
      </c>
      <c r="O9">
        <f>IF(UPPER(N9)="W",(H9-1)*L9,IF(UPPER(N9)="L",-L9,""))</f>
        <v/>
      </c>
      <c r="P9">
        <f>IF(UPPER(N9)="W",(H9-1)*M9,IF(UPPER(N9)="L",-M9,""))</f>
        <v/>
      </c>
    </row>
    <row r="11">
      <c r="A11" t="inlineStr">
        <is>
          <t>2026-06-29</t>
        </is>
      </c>
      <c r="B11" t="inlineStr">
        <is>
          <t>2026-06-29</t>
        </is>
      </c>
      <c r="C11" t="inlineStr">
        <is>
          <t>tennis_atp_wimbledon</t>
        </is>
      </c>
      <c r="D11" t="inlineStr">
        <is>
          <t>Denis Shapovalov vs Pablo Carreno Busta</t>
        </is>
      </c>
      <c r="E11" t="inlineStr">
        <is>
          <t>Denis Shapovalov</t>
        </is>
      </c>
      <c r="F11" t="inlineStr">
        <is>
          <t>h2h</t>
        </is>
      </c>
      <c r="G11" t="inlineStr">
        <is>
          <t>Unibet (SE)</t>
        </is>
      </c>
      <c r="H11" t="n">
        <v>4.4</v>
      </c>
      <c r="I11" t="n">
        <v>1.97</v>
      </c>
      <c r="J11" t="n">
        <v>123.7</v>
      </c>
      <c r="K11" t="n">
        <v>18.2</v>
      </c>
      <c r="L11" t="n">
        <v>20</v>
      </c>
      <c r="M11" t="n">
        <v>182</v>
      </c>
      <c r="N11" t="inlineStr">
        <is>
          <t>l</t>
        </is>
      </c>
      <c r="O11">
        <f>IF(UPPER(N11)="W",(H11-1)*L11,IF(UPPER(N11)="L",-L11,""))</f>
        <v/>
      </c>
      <c r="P11">
        <f>IF(UPPER(N11)="W",(H11-1)*M11,IF(UPPER(N11)="L",-M11,""))</f>
        <v/>
      </c>
    </row>
    <row r="12">
      <c r="A12" t="inlineStr">
        <is>
          <t>2026-06-29</t>
        </is>
      </c>
      <c r="B12" t="inlineStr">
        <is>
          <t>2026-06-29</t>
        </is>
      </c>
      <c r="C12" t="inlineStr">
        <is>
          <t>tennis_atp_wimbledon</t>
        </is>
      </c>
      <c r="D12" t="inlineStr">
        <is>
          <t>Emilio Nava vs Ignacio Buse</t>
        </is>
      </c>
      <c r="E12" t="inlineStr">
        <is>
          <t>Ignacio Buse</t>
        </is>
      </c>
      <c r="F12" t="inlineStr">
        <is>
          <t>h2h</t>
        </is>
      </c>
      <c r="G12" t="inlineStr">
        <is>
          <t>Unibet (SE)</t>
        </is>
      </c>
      <c r="H12" t="n">
        <v>1.76</v>
      </c>
      <c r="I12" t="n">
        <v>1.36</v>
      </c>
      <c r="J12" t="n">
        <v>29</v>
      </c>
      <c r="K12" t="n">
        <v>19.1</v>
      </c>
      <c r="L12" t="n">
        <v>20</v>
      </c>
      <c r="M12" t="n">
        <v>191</v>
      </c>
      <c r="N12" t="inlineStr">
        <is>
          <t>w</t>
        </is>
      </c>
      <c r="O12">
        <f>IF(UPPER(N12)="W",(H12-1)*L12,IF(UPPER(N12)="L",-L12,""))</f>
        <v/>
      </c>
      <c r="P12">
        <f>IF(UPPER(N12)="W",(H12-1)*M12,IF(UPPER(N12)="L",-M12,""))</f>
        <v/>
      </c>
    </row>
    <row r="13">
      <c r="A13" t="inlineStr">
        <is>
          <t>2026-06-29</t>
        </is>
      </c>
      <c r="B13" t="inlineStr">
        <is>
          <t>2026-06-29</t>
        </is>
      </c>
      <c r="C13" t="inlineStr">
        <is>
          <t>tennis_atp_wimbledon</t>
        </is>
      </c>
      <c r="D13" t="inlineStr">
        <is>
          <t>Dalibor Svrcina vs Learner Tien</t>
        </is>
      </c>
      <c r="E13" t="inlineStr">
        <is>
          <t>Dalibor Svrcina</t>
        </is>
      </c>
      <c r="F13" t="inlineStr">
        <is>
          <t>h2h</t>
        </is>
      </c>
      <c r="G13" t="inlineStr">
        <is>
          <t>Unibet (SE)</t>
        </is>
      </c>
      <c r="H13" t="n">
        <v>26</v>
      </c>
      <c r="I13" t="n">
        <v>17.37</v>
      </c>
      <c r="J13" t="n">
        <v>49.7</v>
      </c>
      <c r="K13" t="n">
        <v>1</v>
      </c>
      <c r="L13" t="n">
        <v>20</v>
      </c>
      <c r="M13" t="n">
        <v>10</v>
      </c>
      <c r="N13" t="inlineStr">
        <is>
          <t>l</t>
        </is>
      </c>
      <c r="O13">
        <f>IF(UPPER(N13)="W",(H13-1)*L13,IF(UPPER(N13)="L",-L13,""))</f>
        <v/>
      </c>
      <c r="P13">
        <f>IF(UPPER(N13)="W",(H13-1)*M13,IF(UPPER(N13)="L",-M13,""))</f>
        <v/>
      </c>
    </row>
    <row r="14">
      <c r="A14" t="inlineStr">
        <is>
          <t>2026-06-29</t>
        </is>
      </c>
      <c r="B14" t="inlineStr">
        <is>
          <t>2026-06-29</t>
        </is>
      </c>
      <c r="C14" t="inlineStr">
        <is>
          <t>tennis_atp_wimbledon</t>
        </is>
      </c>
      <c r="D14" t="inlineStr">
        <is>
          <t>Marco Trungelliti vs Martin Damm Jr.</t>
        </is>
      </c>
      <c r="E14" t="inlineStr">
        <is>
          <t>Martin Damm Jr.</t>
        </is>
      </c>
      <c r="F14" t="inlineStr">
        <is>
          <t>h2h</t>
        </is>
      </c>
      <c r="G14" t="inlineStr">
        <is>
          <t>Unibet (SE)</t>
        </is>
      </c>
      <c r="H14" t="n">
        <v>2.1</v>
      </c>
      <c r="I14" t="n">
        <v>1.37</v>
      </c>
      <c r="J14" t="n">
        <v>52.9</v>
      </c>
      <c r="K14" t="n">
        <v>24</v>
      </c>
      <c r="L14" t="n">
        <v>20</v>
      </c>
      <c r="M14" t="n">
        <v>240</v>
      </c>
      <c r="N14" t="inlineStr">
        <is>
          <t>w</t>
        </is>
      </c>
      <c r="O14">
        <f>IF(UPPER(N14)="W",(H14-1)*L14,IF(UPPER(N14)="L",-L14,""))</f>
        <v/>
      </c>
      <c r="P14">
        <f>IF(UPPER(N14)="W",(H14-1)*M14,IF(UPPER(N14)="L",-M14,""))</f>
        <v/>
      </c>
    </row>
    <row r="15">
      <c r="A15" t="inlineStr">
        <is>
          <t>2026-06-29</t>
        </is>
      </c>
      <c r="B15" t="inlineStr">
        <is>
          <t>2026-06-29</t>
        </is>
      </c>
      <c r="C15" t="inlineStr">
        <is>
          <t>tennis_atp_wimbledon</t>
        </is>
      </c>
      <c r="D15" t="inlineStr">
        <is>
          <t>Andrey Rublev vs Roman Safiullin</t>
        </is>
      </c>
      <c r="E15" t="inlineStr">
        <is>
          <t>Roman Safiullin</t>
        </is>
      </c>
      <c r="F15" t="inlineStr">
        <is>
          <t>h2h</t>
        </is>
      </c>
      <c r="G15" t="inlineStr">
        <is>
          <t>Unibet (SE)</t>
        </is>
      </c>
      <c r="H15" t="n">
        <v>2.95</v>
      </c>
      <c r="I15" t="n">
        <v>2.04</v>
      </c>
      <c r="J15" t="n">
        <v>44.6</v>
      </c>
      <c r="K15" t="n">
        <v>11.4</v>
      </c>
      <c r="L15" t="n">
        <v>20</v>
      </c>
      <c r="M15" t="n">
        <v>114</v>
      </c>
      <c r="N15" t="inlineStr">
        <is>
          <t>w</t>
        </is>
      </c>
      <c r="O15">
        <f>IF(UPPER(N15)="W",(H15-1)*L15,IF(UPPER(N15)="L",-L15,""))</f>
        <v/>
      </c>
      <c r="P15">
        <f>IF(UPPER(N15)="W",(H15-1)*M15,IF(UPPER(N15)="L",-M15,""))</f>
        <v/>
      </c>
    </row>
    <row r="16">
      <c r="A16" t="inlineStr">
        <is>
          <t>2026-06-29</t>
        </is>
      </c>
      <c r="B16" t="inlineStr">
        <is>
          <t>2026-06-29</t>
        </is>
      </c>
      <c r="C16" t="inlineStr">
        <is>
          <t>tennis_atp_wimbledon</t>
        </is>
      </c>
      <c r="D16" t="inlineStr">
        <is>
          <t>Camilo Ugo Carabelli vs Daniel Merida Aguilar</t>
        </is>
      </c>
      <c r="E16" t="inlineStr">
        <is>
          <t>Daniel Merida Aguilar</t>
        </is>
      </c>
      <c r="F16" t="inlineStr">
        <is>
          <t>h2h</t>
        </is>
      </c>
      <c r="G16" t="inlineStr">
        <is>
          <t>Unibet (SE)</t>
        </is>
      </c>
      <c r="H16" t="n">
        <v>2.6</v>
      </c>
      <c r="I16" t="n">
        <v>1.9</v>
      </c>
      <c r="J16" t="n">
        <v>36.9</v>
      </c>
      <c r="K16" t="n">
        <v>11.5</v>
      </c>
      <c r="L16" t="n">
        <v>20</v>
      </c>
      <c r="M16" t="n">
        <v>115</v>
      </c>
      <c r="N16" t="inlineStr">
        <is>
          <t>w</t>
        </is>
      </c>
      <c r="O16">
        <f>IF(UPPER(N16)="W",(H16-1)*L16,IF(UPPER(N16)="L",-L16,""))</f>
        <v/>
      </c>
      <c r="P16">
        <f>IF(UPPER(N16)="W",(H16-1)*M16,IF(UPPER(N16)="L",-M16,""))</f>
        <v/>
      </c>
    </row>
    <row r="17">
      <c r="A17" t="inlineStr">
        <is>
          <t>2026-06-29</t>
        </is>
      </c>
      <c r="B17" t="inlineStr">
        <is>
          <t>2026-06-29</t>
        </is>
      </c>
      <c r="C17" t="inlineStr">
        <is>
          <t>tennis_atp_wimbledon</t>
        </is>
      </c>
      <c r="D17" t="inlineStr">
        <is>
          <t>Michael Zheng vs Cameron Norrie</t>
        </is>
      </c>
      <c r="E17" t="inlineStr">
        <is>
          <t>Michael Zheng</t>
        </is>
      </c>
      <c r="F17" t="inlineStr">
        <is>
          <t>h2h</t>
        </is>
      </c>
      <c r="G17" t="inlineStr">
        <is>
          <t>Unibet (SE)</t>
        </is>
      </c>
      <c r="H17" t="n">
        <v>3.8</v>
      </c>
      <c r="I17" t="n">
        <v>2.52</v>
      </c>
      <c r="J17" t="n">
        <v>50.8</v>
      </c>
      <c r="K17" t="n">
        <v>9.1</v>
      </c>
      <c r="L17" t="n">
        <v>20</v>
      </c>
      <c r="M17" t="n">
        <v>91</v>
      </c>
      <c r="N17" t="inlineStr">
        <is>
          <t>w</t>
        </is>
      </c>
      <c r="O17">
        <f>IF(UPPER(N17)="W",(H17-1)*L17,IF(UPPER(N17)="L",-L17,""))</f>
        <v/>
      </c>
      <c r="P17">
        <f>IF(UPPER(N17)="W",(H17-1)*M17,IF(UPPER(N17)="L",-M17,""))</f>
        <v/>
      </c>
    </row>
    <row r="18">
      <c r="A18" t="inlineStr">
        <is>
          <t>2026-06-29</t>
        </is>
      </c>
      <c r="B18" t="inlineStr">
        <is>
          <t>2026-06-29</t>
        </is>
      </c>
      <c r="C18" t="inlineStr">
        <is>
          <t>tennis_wta_wimbledon</t>
        </is>
      </c>
      <c r="D18" t="inlineStr">
        <is>
          <t>Ann Li vs Zeynep Sonmez</t>
        </is>
      </c>
      <c r="E18" t="inlineStr">
        <is>
          <t>Zeynep Sonmez</t>
        </is>
      </c>
      <c r="F18" t="inlineStr">
        <is>
          <t>h2h</t>
        </is>
      </c>
      <c r="G18" t="inlineStr">
        <is>
          <t>Unibet (SE)</t>
        </is>
      </c>
      <c r="H18" t="n">
        <v>2.88</v>
      </c>
      <c r="I18" t="n">
        <v>2.56</v>
      </c>
      <c r="J18" t="n">
        <v>12.3</v>
      </c>
      <c r="K18" t="n">
        <v>3.3</v>
      </c>
      <c r="L18" t="n">
        <v>20</v>
      </c>
      <c r="M18" t="n">
        <v>33</v>
      </c>
      <c r="N18" t="inlineStr">
        <is>
          <t>w</t>
        </is>
      </c>
      <c r="O18">
        <f>IF(UPPER(N18)="W",(H18-1)*L18,IF(UPPER(N18)="L",-L18,""))</f>
        <v/>
      </c>
      <c r="P18">
        <f>IF(UPPER(N18)="W",(H18-1)*M18,IF(UPPER(N18)="L",-M18,""))</f>
        <v/>
      </c>
    </row>
    <row r="19">
      <c r="A19" t="inlineStr">
        <is>
          <t>2026-06-29</t>
        </is>
      </c>
      <c r="B19" t="inlineStr">
        <is>
          <t>2026-06-29</t>
        </is>
      </c>
      <c r="C19" t="inlineStr">
        <is>
          <t>tennis_wta_wimbledon</t>
        </is>
      </c>
      <c r="D19" t="inlineStr">
        <is>
          <t>Xinyu Wang vs Elisabetta Cocciaretto</t>
        </is>
      </c>
      <c r="E19" t="inlineStr">
        <is>
          <t>Xinyu Wang</t>
        </is>
      </c>
      <c r="F19" t="inlineStr">
        <is>
          <t>h2h</t>
        </is>
      </c>
      <c r="G19" t="inlineStr">
        <is>
          <t>Unibet (SE)</t>
        </is>
      </c>
      <c r="H19" t="n">
        <v>1.76</v>
      </c>
      <c r="I19" t="n">
        <v>1.67</v>
      </c>
      <c r="J19" t="n">
        <v>5.4</v>
      </c>
      <c r="K19" t="n">
        <v>3.5</v>
      </c>
      <c r="L19" t="n">
        <v>20</v>
      </c>
      <c r="M19" t="n">
        <v>35</v>
      </c>
      <c r="N19" t="inlineStr">
        <is>
          <t>w</t>
        </is>
      </c>
      <c r="O19">
        <f>IF(UPPER(N19)="W",(H19-1)*L19,IF(UPPER(N19)="L",-L19,""))</f>
        <v/>
      </c>
      <c r="P19">
        <f>IF(UPPER(N19)="W",(H19-1)*M19,IF(UPPER(N19)="L",-M19,""))</f>
        <v/>
      </c>
    </row>
    <row r="21">
      <c r="A21" t="inlineStr">
        <is>
          <t>2026-06-30</t>
        </is>
      </c>
      <c r="B21" t="inlineStr">
        <is>
          <t>2026-07-05</t>
        </is>
      </c>
      <c r="C21" t="inlineStr">
        <is>
          <t>soccer_brazil_serie_b</t>
        </is>
      </c>
      <c r="D21" t="inlineStr">
        <is>
          <t>Nautico PE vs Juventude</t>
        </is>
      </c>
      <c r="E21" t="inlineStr">
        <is>
          <t>Juventude</t>
        </is>
      </c>
      <c r="F21" t="inlineStr">
        <is>
          <t>h2h</t>
        </is>
      </c>
      <c r="G21" t="inlineStr">
        <is>
          <t>Unibet (SE)</t>
        </is>
      </c>
      <c r="H21" t="n">
        <v>3.85</v>
      </c>
      <c r="I21" t="n">
        <v>3.71</v>
      </c>
      <c r="J21" t="n">
        <v>3.7</v>
      </c>
      <c r="K21" t="n">
        <v>0.7</v>
      </c>
      <c r="L21" t="n">
        <v>20</v>
      </c>
      <c r="M21" t="n">
        <v>7</v>
      </c>
      <c r="N21" t="inlineStr">
        <is>
          <t>l</t>
        </is>
      </c>
      <c r="O21">
        <f>IF(UPPER(N21)="W",(H21-1)*L21,IF(UPPER(N21)="L",-L21,""))</f>
        <v/>
      </c>
      <c r="P21">
        <f>IF(UPPER(N21)="W",(H21-1)*M21,IF(UPPER(N21)="L",-M21,""))</f>
        <v/>
      </c>
    </row>
    <row r="22">
      <c r="A22" t="inlineStr">
        <is>
          <t>2026-06-30</t>
        </is>
      </c>
      <c r="B22" t="inlineStr">
        <is>
          <t>2026-07-03</t>
        </is>
      </c>
      <c r="C22" t="inlineStr">
        <is>
          <t>soccer_fifa_world_cup</t>
        </is>
      </c>
      <c r="D22" t="inlineStr">
        <is>
          <t>Switzerland vs Algeria</t>
        </is>
      </c>
      <c r="E22" t="inlineStr">
        <is>
          <t>Algeria</t>
        </is>
      </c>
      <c r="F22" t="inlineStr">
        <is>
          <t>h2h</t>
        </is>
      </c>
      <c r="G22" t="inlineStr">
        <is>
          <t>Unibet (SE)</t>
        </is>
      </c>
      <c r="H22" t="n">
        <v>4.3</v>
      </c>
      <c r="I22" t="n">
        <v>4.18</v>
      </c>
      <c r="J22" t="n">
        <v>2.9</v>
      </c>
      <c r="K22" t="n">
        <v>0.4</v>
      </c>
      <c r="L22" t="n">
        <v>20</v>
      </c>
      <c r="M22" t="n">
        <v>4</v>
      </c>
      <c r="N22" t="inlineStr">
        <is>
          <t>l</t>
        </is>
      </c>
      <c r="O22">
        <f>IF(UPPER(N22)="W",(H22-1)*L22,IF(UPPER(N22)="L",-L22,""))</f>
        <v/>
      </c>
      <c r="P22">
        <f>IF(UPPER(N22)="W",(H22-1)*M22,IF(UPPER(N22)="L",-M22,""))</f>
        <v/>
      </c>
    </row>
    <row r="23">
      <c r="A23" t="inlineStr">
        <is>
          <t>2026-06-30</t>
        </is>
      </c>
      <c r="B23" t="inlineStr">
        <is>
          <t>2026-07-04</t>
        </is>
      </c>
      <c r="C23" t="inlineStr">
        <is>
          <t>soccer_fifa_world_cup</t>
        </is>
      </c>
      <c r="D23" t="inlineStr">
        <is>
          <t>Colombia vs Ghana</t>
        </is>
      </c>
      <c r="E23" t="inlineStr">
        <is>
          <t>Ghana</t>
        </is>
      </c>
      <c r="F23" t="inlineStr">
        <is>
          <t>h2h</t>
        </is>
      </c>
      <c r="G23" t="inlineStr">
        <is>
          <t>Unibet (SE)</t>
        </is>
      </c>
      <c r="H23" t="n">
        <v>8.5</v>
      </c>
      <c r="I23" t="n">
        <v>7.96</v>
      </c>
      <c r="J23" t="n">
        <v>6.7</v>
      </c>
      <c r="K23" t="n">
        <v>0.4</v>
      </c>
      <c r="L23" t="n">
        <v>20</v>
      </c>
      <c r="M23" t="n">
        <v>4</v>
      </c>
      <c r="N23" t="inlineStr">
        <is>
          <t>l</t>
        </is>
      </c>
      <c r="O23">
        <f>IF(UPPER(N23)="W",(H23-1)*L23,IF(UPPER(N23)="L",-L23,""))</f>
        <v/>
      </c>
      <c r="P23">
        <f>IF(UPPER(N23)="W",(H23-1)*M23,IF(UPPER(N23)="L",-M23,""))</f>
        <v/>
      </c>
    </row>
    <row r="24">
      <c r="A24" t="inlineStr">
        <is>
          <t>2026-06-30</t>
        </is>
      </c>
      <c r="B24" t="inlineStr">
        <is>
          <t>2026-07-04</t>
        </is>
      </c>
      <c r="C24" t="inlineStr">
        <is>
          <t>soccer_sweden_allsvenskan</t>
        </is>
      </c>
      <c r="D24" t="inlineStr">
        <is>
          <t>Degerfors IF vs Malmo FF</t>
        </is>
      </c>
      <c r="E24" t="inlineStr">
        <is>
          <t>Draw</t>
        </is>
      </c>
      <c r="F24" t="inlineStr">
        <is>
          <t>h2h</t>
        </is>
      </c>
      <c r="G24" t="inlineStr">
        <is>
          <t>Unibet (SE)</t>
        </is>
      </c>
      <c r="H24" t="n">
        <v>3.65</v>
      </c>
      <c r="I24" t="n">
        <v>3.53</v>
      </c>
      <c r="J24" t="n">
        <v>3.5</v>
      </c>
      <c r="K24" t="n">
        <v>0.7</v>
      </c>
      <c r="L24" t="n">
        <v>20</v>
      </c>
      <c r="M24" t="n">
        <v>7</v>
      </c>
      <c r="N24" t="inlineStr">
        <is>
          <t>l</t>
        </is>
      </c>
      <c r="O24">
        <f>IF(UPPER(N24)="W",(H24-1)*L24,IF(UPPER(N24)="L",-L24,""))</f>
        <v/>
      </c>
      <c r="P24">
        <f>IF(UPPER(N24)="W",(H24-1)*M24,IF(UPPER(N24)="L",-M24,""))</f>
        <v/>
      </c>
    </row>
    <row r="25">
      <c r="A25" t="inlineStr">
        <is>
          <t>2026-06-30</t>
        </is>
      </c>
      <c r="B25" t="inlineStr">
        <is>
          <t>2026-07-04</t>
        </is>
      </c>
      <c r="C25" t="inlineStr">
        <is>
          <t>soccer_sweden_allsvenskan</t>
        </is>
      </c>
      <c r="D25" t="inlineStr">
        <is>
          <t>Halmstads BK vs Västerås SK</t>
        </is>
      </c>
      <c r="E25" t="inlineStr">
        <is>
          <t>Västerås SK</t>
        </is>
      </c>
      <c r="F25" t="inlineStr">
        <is>
          <t>h2h</t>
        </is>
      </c>
      <c r="G25" t="inlineStr">
        <is>
          <t>Unibet (SE)</t>
        </is>
      </c>
      <c r="H25" t="n">
        <v>2.75</v>
      </c>
      <c r="I25" t="n">
        <v>2.58</v>
      </c>
      <c r="J25" t="n">
        <v>6.8</v>
      </c>
      <c r="K25" t="n">
        <v>1.9</v>
      </c>
      <c r="L25" t="n">
        <v>20</v>
      </c>
      <c r="M25" t="n">
        <v>19</v>
      </c>
      <c r="N25" t="inlineStr">
        <is>
          <t>w</t>
        </is>
      </c>
      <c r="O25">
        <f>IF(UPPER(N25)="W",(H25-1)*L25,IF(UPPER(N25)="L",-L25,""))</f>
        <v/>
      </c>
      <c r="P25">
        <f>IF(UPPER(N25)="W",(H25-1)*M25,IF(UPPER(N25)="L",-M25,""))</f>
        <v/>
      </c>
    </row>
    <row r="28">
      <c r="A28" t="inlineStr">
        <is>
          <t>2026-07-01</t>
        </is>
      </c>
      <c r="B28" t="inlineStr">
        <is>
          <t>2026-07-01</t>
        </is>
      </c>
      <c r="C28" t="inlineStr">
        <is>
          <t>baseball_kbo</t>
        </is>
      </c>
      <c r="D28" t="inlineStr">
        <is>
          <t>Kia Tigers vs SSG Landers</t>
        </is>
      </c>
      <c r="E28" t="inlineStr">
        <is>
          <t>Kia Tigers</t>
        </is>
      </c>
      <c r="F28" t="inlineStr">
        <is>
          <t>h2h</t>
        </is>
      </c>
      <c r="G28" t="inlineStr">
        <is>
          <t>Unibet (SE)</t>
        </is>
      </c>
      <c r="H28" t="n">
        <v>1.36</v>
      </c>
      <c r="I28" t="n">
        <v>1.24</v>
      </c>
      <c r="J28" t="n">
        <v>9.699999999999999</v>
      </c>
      <c r="K28" t="n">
        <v>13.5</v>
      </c>
      <c r="L28" t="n">
        <v>20</v>
      </c>
      <c r="M28" t="n">
        <v>135</v>
      </c>
      <c r="N28" t="inlineStr">
        <is>
          <t>l</t>
        </is>
      </c>
      <c r="O28">
        <f>IF(UPPER(N28)="W",(H28-1)*L28,IF(UPPER(N28)="L",-L28,""))</f>
        <v/>
      </c>
      <c r="P28">
        <f>IF(UPPER(N28)="W",(H28-1)*M28,IF(UPPER(N28)="L",-M28,""))</f>
        <v/>
      </c>
    </row>
    <row r="29">
      <c r="A29" t="inlineStr">
        <is>
          <t>2026-07-01</t>
        </is>
      </c>
      <c r="B29" t="inlineStr">
        <is>
          <t>2026-07-01</t>
        </is>
      </c>
      <c r="C29" t="inlineStr">
        <is>
          <t>baseball_mlb</t>
        </is>
      </c>
      <c r="D29" t="inlineStr">
        <is>
          <t>Boston Red Sox vs Washington Nationals</t>
        </is>
      </c>
      <c r="E29" t="inlineStr">
        <is>
          <t>Washington Nationals</t>
        </is>
      </c>
      <c r="F29" t="inlineStr">
        <is>
          <t>h2h</t>
        </is>
      </c>
      <c r="G29" t="inlineStr">
        <is>
          <t>Unibet (SE)</t>
        </is>
      </c>
      <c r="H29" t="n">
        <v>2.35</v>
      </c>
      <c r="I29" t="n">
        <v>2.29</v>
      </c>
      <c r="J29" t="n">
        <v>2.5</v>
      </c>
      <c r="K29" t="n">
        <v>0.9</v>
      </c>
      <c r="L29" t="n">
        <v>20</v>
      </c>
      <c r="M29" t="n">
        <v>9</v>
      </c>
      <c r="N29" t="inlineStr">
        <is>
          <t>w</t>
        </is>
      </c>
      <c r="O29">
        <f>IF(UPPER(N29)="W",(H29-1)*L29,IF(UPPER(N29)="L",-L29,""))</f>
        <v/>
      </c>
      <c r="P29">
        <f>IF(UPPER(N29)="W",(H29-1)*M29,IF(UPPER(N29)="L",-M29,""))</f>
        <v/>
      </c>
    </row>
    <row r="30">
      <c r="A30" t="inlineStr">
        <is>
          <t>2026-07-01</t>
        </is>
      </c>
      <c r="B30" t="inlineStr">
        <is>
          <t>2026-07-01</t>
        </is>
      </c>
      <c r="C30" t="inlineStr">
        <is>
          <t>baseball_npb</t>
        </is>
      </c>
      <c r="D30" t="inlineStr">
        <is>
          <t>Yomiuri Giants vs Tokyo Yakult Swallows</t>
        </is>
      </c>
      <c r="E30" t="inlineStr">
        <is>
          <t>Tokyo Yakult Swallows</t>
        </is>
      </c>
      <c r="F30" t="inlineStr">
        <is>
          <t>h2h</t>
        </is>
      </c>
      <c r="G30" t="inlineStr">
        <is>
          <t>Unibet (SE)</t>
        </is>
      </c>
      <c r="H30" t="n">
        <v>2.33</v>
      </c>
      <c r="I30" t="n">
        <v>2.24</v>
      </c>
      <c r="J30" t="n">
        <v>3.9</v>
      </c>
      <c r="K30" t="n">
        <v>1.5</v>
      </c>
      <c r="L30" t="n">
        <v>20</v>
      </c>
      <c r="M30" t="n">
        <v>15</v>
      </c>
      <c r="N30" t="inlineStr">
        <is>
          <t>l</t>
        </is>
      </c>
      <c r="O30">
        <f>IF(UPPER(N30)="W",(H30-1)*L30,IF(UPPER(N30)="L",-L30,""))</f>
        <v/>
      </c>
      <c r="P30">
        <f>IF(UPPER(N30)="W",(H30-1)*M30,IF(UPPER(N30)="L",-M30,""))</f>
        <v/>
      </c>
    </row>
    <row r="31">
      <c r="A31" t="inlineStr">
        <is>
          <t>2026-07-01</t>
        </is>
      </c>
      <c r="B31" t="inlineStr">
        <is>
          <t>2026-07-03</t>
        </is>
      </c>
      <c r="C31" t="inlineStr">
        <is>
          <t>rugbyleague_nrl</t>
        </is>
      </c>
      <c r="D31" t="inlineStr">
        <is>
          <t>Penrith Panthers vs South Sydney Rabbitohs</t>
        </is>
      </c>
      <c r="E31" t="inlineStr">
        <is>
          <t>Penrith Panthers</t>
        </is>
      </c>
      <c r="F31" t="inlineStr">
        <is>
          <t>h2h</t>
        </is>
      </c>
      <c r="G31" t="inlineStr">
        <is>
          <t>Unibet (SE)</t>
        </is>
      </c>
      <c r="H31" t="n">
        <v>1.55</v>
      </c>
      <c r="I31" t="n">
        <v>1.48</v>
      </c>
      <c r="J31" t="n">
        <v>4.9</v>
      </c>
      <c r="K31" t="n">
        <v>4.5</v>
      </c>
      <c r="L31" t="n">
        <v>20</v>
      </c>
      <c r="M31" t="n">
        <v>45</v>
      </c>
      <c r="N31" t="inlineStr">
        <is>
          <t>w</t>
        </is>
      </c>
      <c r="O31">
        <f>IF(UPPER(N31)="W",(H31-1)*L31,IF(UPPER(N31)="L",-L31,""))</f>
        <v/>
      </c>
      <c r="P31">
        <f>IF(UPPER(N31)="W",(H31-1)*M31,IF(UPPER(N31)="L",-M31,""))</f>
        <v/>
      </c>
    </row>
    <row r="32">
      <c r="A32" t="inlineStr">
        <is>
          <t>2026-07-01</t>
        </is>
      </c>
      <c r="B32" t="inlineStr">
        <is>
          <t>2026-07-04</t>
        </is>
      </c>
      <c r="C32" t="inlineStr">
        <is>
          <t>rugbyleague_nrl</t>
        </is>
      </c>
      <c r="D32" t="inlineStr">
        <is>
          <t>St George Illawarra Dragons vs Wests Tigers</t>
        </is>
      </c>
      <c r="E32" t="inlineStr">
        <is>
          <t>St George Illawarra Dragons</t>
        </is>
      </c>
      <c r="F32" t="inlineStr">
        <is>
          <t>h2h</t>
        </is>
      </c>
      <c r="G32" t="inlineStr">
        <is>
          <t>Unibet (SE)</t>
        </is>
      </c>
      <c r="H32" t="n">
        <v>2.4</v>
      </c>
      <c r="I32" t="n">
        <v>2.33</v>
      </c>
      <c r="J32" t="n">
        <v>2.9</v>
      </c>
      <c r="K32" t="n">
        <v>1</v>
      </c>
      <c r="L32" t="n">
        <v>20</v>
      </c>
      <c r="M32" t="n">
        <v>10</v>
      </c>
      <c r="N32" t="inlineStr">
        <is>
          <t>w</t>
        </is>
      </c>
      <c r="O32">
        <f>IF(UPPER(N32)="W",(H32-1)*L32,IF(UPPER(N32)="L",-L32,""))</f>
        <v/>
      </c>
      <c r="P32">
        <f>IF(UPPER(N32)="W",(H32-1)*M32,IF(UPPER(N32)="L",-M32,""))</f>
        <v/>
      </c>
    </row>
    <row r="34">
      <c r="A34" t="inlineStr">
        <is>
          <t>2026-07-01</t>
        </is>
      </c>
      <c r="B34" t="inlineStr">
        <is>
          <t>2026-07-02</t>
        </is>
      </c>
      <c r="C34" t="inlineStr">
        <is>
          <t>soccer_fifa_world_cup</t>
        </is>
      </c>
      <c r="D34" t="inlineStr">
        <is>
          <t>Portugal vs Croatia</t>
        </is>
      </c>
      <c r="E34" t="inlineStr">
        <is>
          <t>Croatia</t>
        </is>
      </c>
      <c r="F34" t="inlineStr">
        <is>
          <t>h2h</t>
        </is>
      </c>
      <c r="G34" t="inlineStr">
        <is>
          <t>Unibet (SE)</t>
        </is>
      </c>
      <c r="H34" t="n">
        <v>5.5</v>
      </c>
      <c r="I34" t="n">
        <v>5.15</v>
      </c>
      <c r="J34" t="n">
        <v>6.8</v>
      </c>
      <c r="K34" t="n">
        <v>0.8</v>
      </c>
      <c r="L34" t="n">
        <v>20</v>
      </c>
      <c r="M34" t="n">
        <v>8</v>
      </c>
      <c r="N34" t="inlineStr">
        <is>
          <t>l</t>
        </is>
      </c>
      <c r="O34">
        <f>IF(UPPER(N34)="W",(H34-1)*L34,IF(UPPER(N34)="L",-L34,""))</f>
        <v/>
      </c>
      <c r="P34">
        <f>IF(UPPER(N34)="W",(H34-1)*M34,IF(UPPER(N34)="L",-M34,""))</f>
        <v/>
      </c>
    </row>
    <row r="35">
      <c r="A35" t="inlineStr">
        <is>
          <t>2026-07-01</t>
        </is>
      </c>
      <c r="B35" t="inlineStr">
        <is>
          <t>2026-07-04</t>
        </is>
      </c>
      <c r="C35" t="inlineStr">
        <is>
          <t>soccer_fifa_world_cup</t>
        </is>
      </c>
      <c r="D35" t="inlineStr">
        <is>
          <t>Colombia vs Ghana</t>
        </is>
      </c>
      <c r="E35" t="inlineStr">
        <is>
          <t>Ghana</t>
        </is>
      </c>
      <c r="F35" t="inlineStr">
        <is>
          <t>h2h</t>
        </is>
      </c>
      <c r="G35" t="inlineStr">
        <is>
          <t>Unibet (SE)</t>
        </is>
      </c>
      <c r="H35" t="n">
        <v>8.5</v>
      </c>
      <c r="I35" t="n">
        <v>8.039999999999999</v>
      </c>
      <c r="J35" t="n">
        <v>5.7</v>
      </c>
      <c r="K35" t="n">
        <v>0.4</v>
      </c>
      <c r="L35" t="n">
        <v>20</v>
      </c>
      <c r="M35" t="n">
        <v>4</v>
      </c>
      <c r="N35" t="inlineStr">
        <is>
          <t>l</t>
        </is>
      </c>
      <c r="O35">
        <f>IF(UPPER(N35)="W",(H35-1)*L35,IF(UPPER(N35)="L",-L35,""))</f>
        <v/>
      </c>
      <c r="P35">
        <f>IF(UPPER(N35)="W",(H35-1)*M35,IF(UPPER(N35)="L",-M35,""))</f>
        <v/>
      </c>
    </row>
    <row r="36">
      <c r="A36" t="inlineStr">
        <is>
          <t>2026-07-01</t>
        </is>
      </c>
      <c r="B36" t="inlineStr">
        <is>
          <t>2026-07-01</t>
        </is>
      </c>
      <c r="C36" t="inlineStr">
        <is>
          <t>tennis_atp_wimbledon</t>
        </is>
      </c>
      <c r="D36" t="inlineStr">
        <is>
          <t>Marton Fucsovics vs Learner Tien</t>
        </is>
      </c>
      <c r="E36" t="inlineStr">
        <is>
          <t>Marton Fucsovics</t>
        </is>
      </c>
      <c r="F36" t="inlineStr">
        <is>
          <t>h2h</t>
        </is>
      </c>
      <c r="G36" t="inlineStr">
        <is>
          <t>Unibet (SE)</t>
        </is>
      </c>
      <c r="H36" t="n">
        <v>3.05</v>
      </c>
      <c r="I36" t="n">
        <v>2.71</v>
      </c>
      <c r="J36" t="n">
        <v>12.7</v>
      </c>
      <c r="K36" t="n">
        <v>3.1</v>
      </c>
      <c r="L36" t="n">
        <v>20</v>
      </c>
      <c r="M36" t="n">
        <v>31</v>
      </c>
      <c r="N36" t="inlineStr">
        <is>
          <t>w</t>
        </is>
      </c>
      <c r="O36">
        <f>IF(UPPER(N36)="W",(H36-1)*L36,IF(UPPER(N36)="L",-L36,""))</f>
        <v/>
      </c>
      <c r="P36">
        <f>IF(UPPER(N36)="W",(H36-1)*M36,IF(UPPER(N36)="L",-M36,""))</f>
        <v/>
      </c>
    </row>
    <row r="37">
      <c r="A37" t="inlineStr">
        <is>
          <t>2026-07-01</t>
        </is>
      </c>
      <c r="B37" t="inlineStr">
        <is>
          <t>2026-07-01</t>
        </is>
      </c>
      <c r="C37" t="inlineStr">
        <is>
          <t>tennis_wta_wimbledon</t>
        </is>
      </c>
      <c r="D37" t="inlineStr">
        <is>
          <t>Alycia Parks vs Mananchaya Sawangkaew</t>
        </is>
      </c>
      <c r="E37" t="inlineStr">
        <is>
          <t>Mananchaya Sawangkaew</t>
        </is>
      </c>
      <c r="F37" t="inlineStr">
        <is>
          <t>h2h</t>
        </is>
      </c>
      <c r="G37" t="inlineStr">
        <is>
          <t>Unibet (SE)</t>
        </is>
      </c>
      <c r="H37" t="n">
        <v>2.35</v>
      </c>
      <c r="I37" t="n">
        <v>1.68</v>
      </c>
      <c r="J37" t="n">
        <v>39.8</v>
      </c>
      <c r="K37" t="n">
        <v>14.7</v>
      </c>
      <c r="L37" t="n">
        <v>20</v>
      </c>
      <c r="M37" t="n">
        <v>147</v>
      </c>
      <c r="N37" t="inlineStr">
        <is>
          <t>w</t>
        </is>
      </c>
      <c r="O37">
        <f>IF(UPPER(N37)="W",(H37-1)*L37,IF(UPPER(N37)="L",-L37,""))</f>
        <v/>
      </c>
      <c r="P37">
        <f>IF(UPPER(N37)="W",(H37-1)*M37,IF(UPPER(N37)="L",-M37,""))</f>
        <v/>
      </c>
    </row>
    <row r="38">
      <c r="A38" t="inlineStr">
        <is>
          <t>2026-07-01</t>
        </is>
      </c>
      <c r="B38" t="inlineStr">
        <is>
          <t>2026-07-01</t>
        </is>
      </c>
      <c r="C38" t="inlineStr">
        <is>
          <t>tennis_wta_wimbledon</t>
        </is>
      </c>
      <c r="D38" t="inlineStr">
        <is>
          <t>Janice Tjen vs Daria Kasatkina</t>
        </is>
      </c>
      <c r="E38" t="inlineStr">
        <is>
          <t>Janice Tjen</t>
        </is>
      </c>
      <c r="F38" t="inlineStr">
        <is>
          <t>h2h</t>
        </is>
      </c>
      <c r="G38" t="inlineStr">
        <is>
          <t>Unibet (SE)</t>
        </is>
      </c>
      <c r="H38" t="n">
        <v>1.81</v>
      </c>
      <c r="I38" t="n">
        <v>1.49</v>
      </c>
      <c r="J38" t="n">
        <v>21.1</v>
      </c>
      <c r="K38" t="n">
        <v>13</v>
      </c>
      <c r="L38" t="n">
        <v>20</v>
      </c>
      <c r="M38" t="n">
        <v>130</v>
      </c>
      <c r="N38" t="inlineStr">
        <is>
          <t>l</t>
        </is>
      </c>
      <c r="O38">
        <f>IF(UPPER(N38)="W",(H38-1)*L38,IF(UPPER(N38)="L",-L38,""))</f>
        <v/>
      </c>
      <c r="P38">
        <f>IF(UPPER(N38)="W",(H38-1)*M38,IF(UPPER(N38)="L",-M38,""))</f>
        <v/>
      </c>
    </row>
    <row r="40">
      <c r="A40" t="inlineStr">
        <is>
          <t>2026-07-02</t>
        </is>
      </c>
      <c r="B40" t="inlineStr">
        <is>
          <t>2026-07-02</t>
        </is>
      </c>
      <c r="C40" t="inlineStr">
        <is>
          <t>baseball_kbo</t>
        </is>
      </c>
      <c r="D40" t="inlineStr">
        <is>
          <t>Kia Tigers vs SSG Landers</t>
        </is>
      </c>
      <c r="E40" t="inlineStr">
        <is>
          <t>SSG Landers</t>
        </is>
      </c>
      <c r="F40" t="inlineStr">
        <is>
          <t>h2h</t>
        </is>
      </c>
      <c r="G40" t="inlineStr">
        <is>
          <t>Unibet (SE)</t>
        </is>
      </c>
      <c r="H40" t="n">
        <v>1.85</v>
      </c>
      <c r="I40" t="n">
        <v>1.24</v>
      </c>
      <c r="J40" t="n">
        <v>48.9</v>
      </c>
      <c r="K40" t="n">
        <v>28.8</v>
      </c>
      <c r="L40" t="n">
        <v>20</v>
      </c>
      <c r="M40" t="n">
        <v>288</v>
      </c>
      <c r="N40" t="inlineStr">
        <is>
          <t>l</t>
        </is>
      </c>
      <c r="O40">
        <f>IF(UPPER(N40)="W",(H40-1)*L40,IF(UPPER(N40)="L",-L40,""))</f>
        <v/>
      </c>
      <c r="P40">
        <f>IF(UPPER(N40)="W",(H40-1)*M40,IF(UPPER(N40)="L",-M40,""))</f>
        <v/>
      </c>
    </row>
    <row r="41">
      <c r="A41" t="inlineStr">
        <is>
          <t>2026-07-02</t>
        </is>
      </c>
      <c r="B41" t="inlineStr">
        <is>
          <t>2026-07-02</t>
        </is>
      </c>
      <c r="C41" t="inlineStr">
        <is>
          <t>baseball_kbo</t>
        </is>
      </c>
      <c r="D41" t="inlineStr">
        <is>
          <t>Doosan Bears vs Lotte Giants</t>
        </is>
      </c>
      <c r="E41" t="inlineStr">
        <is>
          <t>Doosan Bears</t>
        </is>
      </c>
      <c r="F41" t="inlineStr">
        <is>
          <t>h2h</t>
        </is>
      </c>
      <c r="G41" t="inlineStr">
        <is>
          <t>Unibet (SE)</t>
        </is>
      </c>
      <c r="H41" t="n">
        <v>1.83</v>
      </c>
      <c r="I41" t="n">
        <v>1.42</v>
      </c>
      <c r="J41" t="n">
        <v>28.7</v>
      </c>
      <c r="K41" t="n">
        <v>17.3</v>
      </c>
      <c r="L41" t="n">
        <v>20</v>
      </c>
      <c r="M41" t="n">
        <v>173</v>
      </c>
      <c r="N41" t="inlineStr">
        <is>
          <t>w</t>
        </is>
      </c>
      <c r="O41">
        <f>IF(UPPER(N41)="W",(H41-1)*L41,IF(UPPER(N41)="L",-L41,""))</f>
        <v/>
      </c>
      <c r="P41">
        <f>IF(UPPER(N41)="W",(H41-1)*M41,IF(UPPER(N41)="L",-M41,""))</f>
        <v/>
      </c>
    </row>
    <row r="42">
      <c r="A42" t="inlineStr">
        <is>
          <t>2026-07-02</t>
        </is>
      </c>
      <c r="B42" t="inlineStr">
        <is>
          <t>2026-07-02</t>
        </is>
      </c>
      <c r="C42" t="inlineStr">
        <is>
          <t>baseball_npb</t>
        </is>
      </c>
      <c r="D42" t="inlineStr">
        <is>
          <t>Hanshin Tigers vs Chunichi Dragons</t>
        </is>
      </c>
      <c r="E42" t="inlineStr">
        <is>
          <t>Hanshin Tigers</t>
        </is>
      </c>
      <c r="F42" t="inlineStr">
        <is>
          <t>h2h</t>
        </is>
      </c>
      <c r="G42" t="inlineStr">
        <is>
          <t>Unibet (SE)</t>
        </is>
      </c>
      <c r="H42" t="n">
        <v>2.4</v>
      </c>
      <c r="I42" t="n">
        <v>1.8</v>
      </c>
      <c r="J42" t="n">
        <v>33.7</v>
      </c>
      <c r="K42" t="n">
        <v>12</v>
      </c>
      <c r="L42" t="n">
        <v>20</v>
      </c>
      <c r="M42" t="n">
        <v>120</v>
      </c>
      <c r="N42" t="inlineStr">
        <is>
          <t>l</t>
        </is>
      </c>
      <c r="O42">
        <f>IF(UPPER(N42)="W",(H42-1)*L42,IF(UPPER(N42)="L",-L42,""))</f>
        <v/>
      </c>
      <c r="P42">
        <f>IF(UPPER(N42)="W",(H42-1)*M42,IF(UPPER(N42)="L",-M42,""))</f>
        <v/>
      </c>
    </row>
    <row r="43">
      <c r="A43" t="inlineStr">
        <is>
          <t>2026-07-02</t>
        </is>
      </c>
      <c r="B43" t="inlineStr">
        <is>
          <t>2026-07-04</t>
        </is>
      </c>
      <c r="C43" t="inlineStr">
        <is>
          <t>soccer_fifa_world_cup</t>
        </is>
      </c>
      <c r="D43" t="inlineStr">
        <is>
          <t>Canada vs Morocco</t>
        </is>
      </c>
      <c r="E43" t="inlineStr">
        <is>
          <t>Canada</t>
        </is>
      </c>
      <c r="F43" t="inlineStr">
        <is>
          <t>h2h</t>
        </is>
      </c>
      <c r="G43" t="inlineStr">
        <is>
          <t>Unibet (SE)</t>
        </is>
      </c>
      <c r="H43" t="n">
        <v>5.75</v>
      </c>
      <c r="I43" t="n">
        <v>5.53</v>
      </c>
      <c r="J43" t="n">
        <v>4</v>
      </c>
      <c r="K43" t="n">
        <v>0.4</v>
      </c>
      <c r="L43" t="n">
        <v>20</v>
      </c>
      <c r="M43" t="n">
        <v>4</v>
      </c>
      <c r="N43" t="inlineStr">
        <is>
          <t>l</t>
        </is>
      </c>
      <c r="O43">
        <f>IF(UPPER(N43)="W",(H43-1)*L43,IF(UPPER(N43)="L",-L43,""))</f>
        <v/>
      </c>
      <c r="P43">
        <f>IF(UPPER(N43)="W",(H43-1)*M43,IF(UPPER(N43)="L",-M43,""))</f>
        <v/>
      </c>
    </row>
    <row r="44">
      <c r="A44" t="inlineStr">
        <is>
          <t>2026-07-02</t>
        </is>
      </c>
      <c r="B44" t="inlineStr">
        <is>
          <t>2026-07-04</t>
        </is>
      </c>
      <c r="C44" t="inlineStr">
        <is>
          <t>soccer_sweden_allsvenskan</t>
        </is>
      </c>
      <c r="D44" t="inlineStr">
        <is>
          <t>Degerfors IF vs Malmo FF</t>
        </is>
      </c>
      <c r="E44" t="inlineStr">
        <is>
          <t>Degerfors IF</t>
        </is>
      </c>
      <c r="F44" t="inlineStr">
        <is>
          <t>h2h</t>
        </is>
      </c>
      <c r="G44" t="inlineStr">
        <is>
          <t>Unibet (SE)</t>
        </is>
      </c>
      <c r="H44" t="n">
        <v>3.65</v>
      </c>
      <c r="I44" t="n">
        <v>3.5</v>
      </c>
      <c r="J44" t="n">
        <v>4.3</v>
      </c>
      <c r="K44" t="n">
        <v>0.8</v>
      </c>
      <c r="L44" t="n">
        <v>20</v>
      </c>
      <c r="M44" t="n">
        <v>8</v>
      </c>
      <c r="N44" t="inlineStr">
        <is>
          <t>l</t>
        </is>
      </c>
      <c r="O44">
        <f>IF(UPPER(N44)="W",(H44-1)*L44,IF(UPPER(N44)="L",-L44,""))</f>
        <v/>
      </c>
      <c r="P44">
        <f>IF(UPPER(N44)="W",(H44-1)*M44,IF(UPPER(N44)="L",-M44,""))</f>
        <v/>
      </c>
    </row>
    <row r="45">
      <c r="A45" t="inlineStr">
        <is>
          <t>2026-07-02</t>
        </is>
      </c>
      <c r="B45" t="inlineStr">
        <is>
          <t>2026-07-02</t>
        </is>
      </c>
      <c r="C45" t="inlineStr">
        <is>
          <t>tennis_atp_wimbledon</t>
        </is>
      </c>
      <c r="D45" t="inlineStr">
        <is>
          <t>Gabriel Diallo vs Lorenzo Sonego</t>
        </is>
      </c>
      <c r="E45" t="inlineStr">
        <is>
          <t>Gabriel Diallo</t>
        </is>
      </c>
      <c r="F45" t="inlineStr">
        <is>
          <t>h2h</t>
        </is>
      </c>
      <c r="G45" t="inlineStr">
        <is>
          <t>Unibet (SE)</t>
        </is>
      </c>
      <c r="H45" t="n">
        <v>2.33</v>
      </c>
      <c r="I45" t="n">
        <v>2.08</v>
      </c>
      <c r="J45" t="n">
        <v>12</v>
      </c>
      <c r="K45" t="n">
        <v>4.5</v>
      </c>
      <c r="L45" t="n">
        <v>20</v>
      </c>
      <c r="M45" t="n">
        <v>45</v>
      </c>
      <c r="N45" t="inlineStr">
        <is>
          <t>l</t>
        </is>
      </c>
      <c r="O45">
        <f>IF(UPPER(N45)="W",(H45-1)*L45,IF(UPPER(N45)="L",-L45,""))</f>
        <v/>
      </c>
      <c r="P45">
        <f>IF(UPPER(N45)="W",(H45-1)*M45,IF(UPPER(N45)="L",-M45,""))</f>
        <v/>
      </c>
    </row>
    <row r="46">
      <c r="A46" t="inlineStr">
        <is>
          <t>2026-07-02</t>
        </is>
      </c>
      <c r="B46" t="inlineStr">
        <is>
          <t>2026-07-02</t>
        </is>
      </c>
      <c r="C46" t="inlineStr">
        <is>
          <t>tennis_wta_wimbledon</t>
        </is>
      </c>
      <c r="D46" t="inlineStr">
        <is>
          <t>Diana Shnaider vs Liudmila Samsonova</t>
        </is>
      </c>
      <c r="E46" t="inlineStr">
        <is>
          <t>Diana Shnaider</t>
        </is>
      </c>
      <c r="F46" t="inlineStr">
        <is>
          <t>h2h</t>
        </is>
      </c>
      <c r="G46" t="inlineStr">
        <is>
          <t>Unibet (SE)</t>
        </is>
      </c>
      <c r="H46" t="n">
        <v>3</v>
      </c>
      <c r="I46" t="n">
        <v>1.73</v>
      </c>
      <c r="J46" t="n">
        <v>73.09999999999999</v>
      </c>
      <c r="K46" t="n">
        <v>18.3</v>
      </c>
      <c r="L46" t="n">
        <v>20</v>
      </c>
      <c r="M46" t="n">
        <v>183</v>
      </c>
      <c r="N46" t="inlineStr">
        <is>
          <t>l</t>
        </is>
      </c>
      <c r="O46">
        <f>IF(UPPER(N46)="W",(H46-1)*L46,IF(UPPER(N46)="L",-L46,""))</f>
        <v/>
      </c>
      <c r="P46">
        <f>IF(UPPER(N46)="W",(H46-1)*M46,IF(UPPER(N46)="L",-M46,""))</f>
        <v/>
      </c>
    </row>
    <row r="47">
      <c r="A47" t="inlineStr">
        <is>
          <t>2026-07-03</t>
        </is>
      </c>
      <c r="B47" t="inlineStr">
        <is>
          <t>2026-07-05</t>
        </is>
      </c>
      <c r="C47" t="inlineStr">
        <is>
          <t>soccer_sweden_allsvenskan</t>
        </is>
      </c>
      <c r="D47" t="inlineStr">
        <is>
          <t>Kalmar FF vs Örgryte IS</t>
        </is>
      </c>
      <c r="E47" t="inlineStr">
        <is>
          <t>Örgryte IS</t>
        </is>
      </c>
      <c r="F47" t="inlineStr">
        <is>
          <t>h2h</t>
        </is>
      </c>
      <c r="G47" t="inlineStr">
        <is>
          <t>Unibet (SE)</t>
        </is>
      </c>
      <c r="H47" t="n">
        <v>6.25</v>
      </c>
      <c r="I47" t="n">
        <v>6.07</v>
      </c>
      <c r="J47" t="n">
        <v>2.9</v>
      </c>
      <c r="K47" t="n">
        <v>0.3</v>
      </c>
      <c r="L47" t="n">
        <v>20</v>
      </c>
      <c r="M47" t="n">
        <v>3</v>
      </c>
      <c r="N47" t="inlineStr">
        <is>
          <t>l</t>
        </is>
      </c>
      <c r="O47">
        <f>IF(UPPER(N47)="W",(H47-1)*L47,IF(UPPER(N47)="L",-L47,""))</f>
        <v/>
      </c>
      <c r="P47">
        <f>IF(UPPER(N47)="W",(H47-1)*M47,IF(UPPER(N47)="L",-M47,""))</f>
        <v/>
      </c>
    </row>
    <row r="48">
      <c r="A48" t="inlineStr">
        <is>
          <t>2026-07-03</t>
        </is>
      </c>
      <c r="B48" t="inlineStr">
        <is>
          <t>2026-07-03</t>
        </is>
      </c>
      <c r="C48" t="inlineStr">
        <is>
          <t>soccer_fifa_world_cup</t>
        </is>
      </c>
      <c r="D48" t="inlineStr">
        <is>
          <t>Argentina vs Cape Verde</t>
        </is>
      </c>
      <c r="E48" t="inlineStr">
        <is>
          <t>Cape Verde</t>
        </is>
      </c>
      <c r="F48" t="inlineStr">
        <is>
          <t>h2h</t>
        </is>
      </c>
      <c r="G48" t="inlineStr">
        <is>
          <t>Unibet (SE)</t>
        </is>
      </c>
      <c r="H48" t="n">
        <v>25</v>
      </c>
      <c r="I48" t="n">
        <v>23.24</v>
      </c>
      <c r="J48" t="n">
        <v>7.6</v>
      </c>
      <c r="K48" t="n">
        <v>0.2</v>
      </c>
      <c r="L48" t="n">
        <v>20</v>
      </c>
      <c r="M48" t="n">
        <v>2</v>
      </c>
      <c r="N48" t="inlineStr">
        <is>
          <t>l</t>
        </is>
      </c>
      <c r="O48">
        <f>IF(UPPER(N48)="W",(H48-1)*L48,IF(UPPER(N48)="L",-L48,""))</f>
        <v/>
      </c>
      <c r="P48">
        <f>IF(UPPER(N48)="W",(H48-1)*M48,IF(UPPER(N48)="L",-M48,""))</f>
        <v/>
      </c>
    </row>
    <row r="51">
      <c r="A51" t="inlineStr">
        <is>
          <t>2026-07-05</t>
        </is>
      </c>
      <c r="B51" t="inlineStr">
        <is>
          <t>2026-07-05</t>
        </is>
      </c>
      <c r="C51" t="inlineStr">
        <is>
          <t>baseball_mlb</t>
        </is>
      </c>
      <c r="D51" t="inlineStr">
        <is>
          <t>Washington Nationals vs Pittsburgh Pirates</t>
        </is>
      </c>
      <c r="E51" t="inlineStr">
        <is>
          <t>Washington Nationals</t>
        </is>
      </c>
      <c r="F51" t="inlineStr">
        <is>
          <t>h2h</t>
        </is>
      </c>
      <c r="G51" t="inlineStr">
        <is>
          <t>Unibet (SE)</t>
        </is>
      </c>
      <c r="H51" t="n">
        <v>2.1</v>
      </c>
      <c r="I51" t="n">
        <v>1.75</v>
      </c>
      <c r="J51" t="n">
        <v>19.7</v>
      </c>
      <c r="K51" t="n">
        <v>9</v>
      </c>
      <c r="L51" t="n">
        <v>20</v>
      </c>
      <c r="M51" t="n">
        <v>90</v>
      </c>
      <c r="N51" t="inlineStr">
        <is>
          <t>l</t>
        </is>
      </c>
      <c r="O51">
        <f>IF(UPPER(N51)="W",(H51-1)*L51,IF(UPPER(N51)="L",-L51,""))</f>
        <v/>
      </c>
      <c r="P51">
        <f>IF(UPPER(N51)="W",(H51-1)*M51,IF(UPPER(N51)="L",-M51,""))</f>
        <v/>
      </c>
    </row>
    <row r="52">
      <c r="A52" t="inlineStr">
        <is>
          <t>2026-07-05</t>
        </is>
      </c>
      <c r="B52" t="inlineStr">
        <is>
          <t>2026-07-05</t>
        </is>
      </c>
      <c r="C52" t="inlineStr">
        <is>
          <t>baseball_mlb</t>
        </is>
      </c>
      <c r="D52" t="inlineStr">
        <is>
          <t>Chicago Cubs vs St. Louis Cardinals</t>
        </is>
      </c>
      <c r="E52" t="inlineStr">
        <is>
          <t>St. Louis Cardinals</t>
        </is>
      </c>
      <c r="F52" t="inlineStr">
        <is>
          <t>h2h</t>
        </is>
      </c>
      <c r="G52" t="inlineStr">
        <is>
          <t>Unibet (SE)</t>
        </is>
      </c>
      <c r="H52" t="n">
        <v>5.75</v>
      </c>
      <c r="I52" t="n">
        <v>5.18</v>
      </c>
      <c r="J52" t="n">
        <v>11</v>
      </c>
      <c r="K52" t="n">
        <v>1.2</v>
      </c>
      <c r="L52" t="n">
        <v>20</v>
      </c>
      <c r="M52" t="n">
        <v>12</v>
      </c>
      <c r="N52" t="inlineStr">
        <is>
          <t>l</t>
        </is>
      </c>
      <c r="O52">
        <f>IF(UPPER(N52)="W",(H52-1)*L52,IF(UPPER(N52)="L",-L52,""))</f>
        <v/>
      </c>
      <c r="P52">
        <f>IF(UPPER(N52)="W",(H52-1)*M52,IF(UPPER(N52)="L",-M52,""))</f>
        <v/>
      </c>
    </row>
    <row r="53">
      <c r="A53" t="inlineStr">
        <is>
          <t>2026-07-05</t>
        </is>
      </c>
      <c r="B53" t="inlineStr">
        <is>
          <t>2026-07-05</t>
        </is>
      </c>
      <c r="C53" t="inlineStr">
        <is>
          <t>baseball_mlb</t>
        </is>
      </c>
      <c r="D53" t="inlineStr">
        <is>
          <t>Kansas City Royals vs Philadelphia Phillies</t>
        </is>
      </c>
      <c r="E53" t="inlineStr">
        <is>
          <t>Philadelphia Phillies</t>
        </is>
      </c>
      <c r="F53" t="inlineStr">
        <is>
          <t>h2h</t>
        </is>
      </c>
      <c r="G53" t="inlineStr">
        <is>
          <t>Unibet (SE)</t>
        </is>
      </c>
      <c r="H53" t="n">
        <v>3.5</v>
      </c>
      <c r="I53" t="n">
        <v>3.12</v>
      </c>
      <c r="J53" t="n">
        <v>12.1</v>
      </c>
      <c r="K53" t="n">
        <v>2.4</v>
      </c>
      <c r="L53" t="n">
        <v>20</v>
      </c>
      <c r="M53" t="n">
        <v>24</v>
      </c>
      <c r="N53" t="inlineStr">
        <is>
          <t>l</t>
        </is>
      </c>
      <c r="O53">
        <f>IF(UPPER(N53)="W",(H53-1)*L53,IF(UPPER(N53)="L",-L53,""))</f>
        <v/>
      </c>
      <c r="P53">
        <f>IF(UPPER(N53)="W",(H53-1)*M53,IF(UPPER(N53)="L",-M53,""))</f>
        <v/>
      </c>
    </row>
    <row r="54">
      <c r="A54" t="inlineStr">
        <is>
          <t>2026-07-05</t>
        </is>
      </c>
      <c r="B54" t="inlineStr">
        <is>
          <t>2026-07-05</t>
        </is>
      </c>
      <c r="C54" t="inlineStr">
        <is>
          <t>baseball_mlb</t>
        </is>
      </c>
      <c r="D54" t="inlineStr">
        <is>
          <t>Houston Astros vs Tampa Bay Rays</t>
        </is>
      </c>
      <c r="E54" t="inlineStr">
        <is>
          <t>Houston Astros</t>
        </is>
      </c>
      <c r="F54" t="inlineStr">
        <is>
          <t>h2h</t>
        </is>
      </c>
      <c r="G54" t="inlineStr">
        <is>
          <t>Unibet (SE)</t>
        </is>
      </c>
      <c r="H54" t="n">
        <v>1.88</v>
      </c>
      <c r="I54" t="n">
        <v>1.61</v>
      </c>
      <c r="J54" t="n">
        <v>16.6</v>
      </c>
      <c r="K54" t="n">
        <v>9.4</v>
      </c>
      <c r="L54" t="n">
        <v>20</v>
      </c>
      <c r="M54" t="n">
        <v>94</v>
      </c>
      <c r="N54" t="inlineStr">
        <is>
          <t>w</t>
        </is>
      </c>
      <c r="O54">
        <f>IF(UPPER(N54)="W",(H54-1)*L54,IF(UPPER(N54)="L",-L54,""))</f>
        <v/>
      </c>
      <c r="P54">
        <f>IF(UPPER(N54)="W",(H54-1)*M54,IF(UPPER(N54)="L",-M54,""))</f>
        <v/>
      </c>
    </row>
    <row r="55">
      <c r="A55" t="inlineStr">
        <is>
          <t>2026-07-05</t>
        </is>
      </c>
      <c r="B55" t="inlineStr">
        <is>
          <t>2026-07-05</t>
        </is>
      </c>
      <c r="C55" t="inlineStr">
        <is>
          <t>baseball_mlb</t>
        </is>
      </c>
      <c r="D55" t="inlineStr">
        <is>
          <t>Cleveland Guardians vs Chicago White Sox</t>
        </is>
      </c>
      <c r="E55" t="inlineStr">
        <is>
          <t>Chicago White Sox</t>
        </is>
      </c>
      <c r="F55" t="inlineStr">
        <is>
          <t>h2h</t>
        </is>
      </c>
      <c r="G55" t="inlineStr">
        <is>
          <t>Unibet (SE)</t>
        </is>
      </c>
      <c r="H55" t="n">
        <v>2.18</v>
      </c>
      <c r="I55" t="n">
        <v>1.59</v>
      </c>
      <c r="J55" t="n">
        <v>36.9</v>
      </c>
      <c r="K55" t="n">
        <v>15.6</v>
      </c>
      <c r="L55" t="n">
        <v>20</v>
      </c>
      <c r="M55" t="n">
        <v>156</v>
      </c>
      <c r="N55" t="inlineStr">
        <is>
          <t>w</t>
        </is>
      </c>
      <c r="O55">
        <f>IF(UPPER(N55)="W",(H55-1)*L55,IF(UPPER(N55)="L",-L55,""))</f>
        <v/>
      </c>
      <c r="P55">
        <f>IF(UPPER(N55)="W",(H55-1)*M55,IF(UPPER(N55)="L",-M55,""))</f>
        <v/>
      </c>
    </row>
    <row r="56">
      <c r="A56" t="inlineStr">
        <is>
          <t>2026-07-05</t>
        </is>
      </c>
      <c r="B56" t="inlineStr">
        <is>
          <t>2026-07-06</t>
        </is>
      </c>
      <c r="C56" t="inlineStr">
        <is>
          <t>soccer_sweden_allsvenskan</t>
        </is>
      </c>
      <c r="D56" t="inlineStr">
        <is>
          <t>BK Hacken vs Djurgardens IF</t>
        </is>
      </c>
      <c r="E56" t="inlineStr">
        <is>
          <t>BK Hacken</t>
        </is>
      </c>
      <c r="F56" t="inlineStr">
        <is>
          <t>h2h</t>
        </is>
      </c>
      <c r="G56" t="inlineStr">
        <is>
          <t>Unibet (SE)</t>
        </is>
      </c>
      <c r="H56" t="n">
        <v>2.7</v>
      </c>
      <c r="I56" t="n">
        <v>2.62</v>
      </c>
      <c r="J56" t="n">
        <v>3.2</v>
      </c>
      <c r="K56" t="n">
        <v>0.9</v>
      </c>
      <c r="L56" t="n">
        <v>20</v>
      </c>
      <c r="M56" t="n">
        <v>9</v>
      </c>
      <c r="N56" t="inlineStr">
        <is>
          <t>l</t>
        </is>
      </c>
      <c r="O56">
        <f>IF(UPPER(N56)="W",(H56-1)*L56,IF(UPPER(N56)="L",-L56,""))</f>
        <v/>
      </c>
      <c r="P56">
        <f>IF(UPPER(N56)="W",(H56-1)*M56,IF(UPPER(N56)="L",-M56,""))</f>
        <v/>
      </c>
    </row>
    <row r="57">
      <c r="A57" t="inlineStr">
        <is>
          <t>2026-07-05</t>
        </is>
      </c>
      <c r="B57" t="inlineStr">
        <is>
          <t>2026-07-05</t>
        </is>
      </c>
      <c r="C57" t="inlineStr">
        <is>
          <t>tennis_wta_wimbledon</t>
        </is>
      </c>
      <c r="D57" t="inlineStr">
        <is>
          <t>Belinda Bencic vs Coco Gauff</t>
        </is>
      </c>
      <c r="E57" t="inlineStr">
        <is>
          <t>Belinda Bencic</t>
        </is>
      </c>
      <c r="F57" t="inlineStr">
        <is>
          <t>h2h</t>
        </is>
      </c>
      <c r="G57" t="inlineStr">
        <is>
          <t>Unibet (SE)</t>
        </is>
      </c>
      <c r="H57" t="n">
        <v>2.6</v>
      </c>
      <c r="I57" t="n">
        <v>1.85</v>
      </c>
      <c r="J57" t="n">
        <v>40.8</v>
      </c>
      <c r="K57" t="n">
        <v>12.7</v>
      </c>
      <c r="L57" t="n">
        <v>20</v>
      </c>
      <c r="M57" t="n">
        <v>127</v>
      </c>
      <c r="N57" t="inlineStr">
        <is>
          <t>l</t>
        </is>
      </c>
      <c r="O57">
        <f>IF(UPPER(N57)="W",(H57-1)*L57,IF(UPPER(N57)="L",-L57,""))</f>
        <v/>
      </c>
      <c r="P57">
        <f>IF(UPPER(N57)="W",(H57-1)*M57,IF(UPPER(N57)="L",-M57,""))</f>
        <v/>
      </c>
    </row>
    <row r="60">
      <c r="A60" t="inlineStr">
        <is>
          <t>2026-07-06</t>
        </is>
      </c>
      <c r="B60" t="inlineStr">
        <is>
          <t>2026-07-06</t>
        </is>
      </c>
      <c r="C60" t="inlineStr">
        <is>
          <t>soccer_sweden_allsvenskan</t>
        </is>
      </c>
      <c r="D60" t="inlineStr">
        <is>
          <t>IF Brommapojkarna vs GAIS</t>
        </is>
      </c>
      <c r="E60" t="inlineStr">
        <is>
          <t>IF Brommapojkarna</t>
        </is>
      </c>
      <c r="F60" t="inlineStr">
        <is>
          <t>h2h</t>
        </is>
      </c>
      <c r="G60" t="inlineStr">
        <is>
          <t>Unibet (SE)</t>
        </is>
      </c>
      <c r="H60" t="n">
        <v>5.1</v>
      </c>
      <c r="I60" t="n">
        <v>4.94</v>
      </c>
      <c r="J60" t="n">
        <v>3.2</v>
      </c>
      <c r="K60" t="n">
        <v>0.4</v>
      </c>
      <c r="L60" t="n">
        <v>20</v>
      </c>
      <c r="M60" t="n">
        <v>4</v>
      </c>
      <c r="N60" t="inlineStr">
        <is>
          <t>l</t>
        </is>
      </c>
      <c r="O60">
        <f>IF(UPPER(N60)="W",(H60-1)*L60,IF(UPPER(N60)="L",-L60,""))</f>
        <v/>
      </c>
      <c r="P60">
        <f>IF(UPPER(N60)="W",(H60-1)*M60,IF(UPPER(N60)="L",-M60,""))</f>
        <v/>
      </c>
    </row>
    <row r="62">
      <c r="A62" t="inlineStr">
        <is>
          <t>2026-07-07</t>
        </is>
      </c>
      <c r="B62" t="inlineStr">
        <is>
          <t>2026-07-07</t>
        </is>
      </c>
      <c r="C62" t="inlineStr">
        <is>
          <t>tennis_wta_wimbledon</t>
        </is>
      </c>
      <c r="D62" t="inlineStr">
        <is>
          <t>Naomi Osaka vs Karolina Muchova</t>
        </is>
      </c>
      <c r="E62" t="inlineStr">
        <is>
          <t>Naomi Osaka</t>
        </is>
      </c>
      <c r="F62" t="inlineStr">
        <is>
          <t>h2h</t>
        </is>
      </c>
      <c r="G62" t="inlineStr">
        <is>
          <t>Unibet (SE)</t>
        </is>
      </c>
      <c r="H62" t="n">
        <v>2.15</v>
      </c>
      <c r="I62" t="n">
        <v>1.87</v>
      </c>
      <c r="J62" t="n">
        <v>14.9</v>
      </c>
      <c r="K62" t="n">
        <v>6.5</v>
      </c>
      <c r="L62" t="n">
        <v>20</v>
      </c>
      <c r="M62" t="n">
        <v>65</v>
      </c>
      <c r="N62" t="inlineStr">
        <is>
          <t>l</t>
        </is>
      </c>
      <c r="O62">
        <f>IF(UPPER(N62)="W",(H62-1)*L62,IF(UPPER(N62)="L",-L62,""))</f>
        <v/>
      </c>
      <c r="P62">
        <f>IF(UPPER(N62)="W",(H62-1)*M62,IF(UPPER(N62)="L",-M62,""))</f>
        <v/>
      </c>
    </row>
    <row r="65">
      <c r="A65" t="inlineStr">
        <is>
          <t>2026-07-10</t>
        </is>
      </c>
      <c r="B65" t="inlineStr">
        <is>
          <t>2026-07-12</t>
        </is>
      </c>
      <c r="C65" t="inlineStr">
        <is>
          <t>rugbyleague_nrl</t>
        </is>
      </c>
      <c r="D65" t="inlineStr">
        <is>
          <t>Melbourne Storm vs Gold Coast Titans</t>
        </is>
      </c>
      <c r="E65" t="inlineStr">
        <is>
          <t>Melbourne Storm</t>
        </is>
      </c>
      <c r="F65" t="inlineStr">
        <is>
          <t>h2h</t>
        </is>
      </c>
      <c r="G65" t="inlineStr">
        <is>
          <t>Unibet (SE)</t>
        </is>
      </c>
      <c r="H65" t="n">
        <v>1.33</v>
      </c>
      <c r="I65" t="n">
        <v>1.29</v>
      </c>
      <c r="J65" t="n">
        <v>3.5</v>
      </c>
      <c r="K65" t="n">
        <v>5.3</v>
      </c>
      <c r="L65" t="n">
        <v>20</v>
      </c>
      <c r="M65" t="n">
        <v>53</v>
      </c>
      <c r="N65" t="inlineStr">
        <is>
          <t>w</t>
        </is>
      </c>
      <c r="O65">
        <f>IF(UPPER(N65)="W",(H65-1)*L65,IF(UPPER(N65)="L",-L65,""))</f>
        <v/>
      </c>
      <c r="P65">
        <f>IF(UPPER(N65)="W",(H65-1)*M65,IF(UPPER(N65)="L",-M65,""))</f>
        <v/>
      </c>
    </row>
    <row r="66">
      <c r="A66" t="inlineStr">
        <is>
          <t>2026-07-10</t>
        </is>
      </c>
      <c r="B66" t="inlineStr">
        <is>
          <t>2026-07-12</t>
        </is>
      </c>
      <c r="C66" t="inlineStr">
        <is>
          <t>soccer_brazil_serie_b</t>
        </is>
      </c>
      <c r="D66" t="inlineStr">
        <is>
          <t>Avai vs Nautico PE</t>
        </is>
      </c>
      <c r="E66" t="inlineStr">
        <is>
          <t>Draw</t>
        </is>
      </c>
      <c r="F66" t="inlineStr">
        <is>
          <t>h2h</t>
        </is>
      </c>
      <c r="G66" t="inlineStr">
        <is>
          <t>Unibet (SE)</t>
        </is>
      </c>
      <c r="H66" t="n">
        <v>3.15</v>
      </c>
      <c r="I66" t="n">
        <v>3.06</v>
      </c>
      <c r="J66" t="n">
        <v>2.8</v>
      </c>
      <c r="K66" t="n">
        <v>0.7</v>
      </c>
      <c r="L66" t="n">
        <v>20</v>
      </c>
      <c r="M66" t="n">
        <v>7</v>
      </c>
      <c r="N66" t="inlineStr">
        <is>
          <t>l</t>
        </is>
      </c>
      <c r="O66">
        <f>IF(UPPER(N66)="W",(H66-1)*L66,IF(UPPER(N66)="L",-L66,""))</f>
        <v/>
      </c>
      <c r="P66">
        <f>IF(UPPER(N66)="W",(H66-1)*M66,IF(UPPER(N66)="L",-M66,""))</f>
        <v/>
      </c>
    </row>
    <row r="67">
      <c r="A67" t="inlineStr">
        <is>
          <t>2026-07-10</t>
        </is>
      </c>
      <c r="B67" t="inlineStr">
        <is>
          <t>2026-07-10</t>
        </is>
      </c>
      <c r="C67" t="inlineStr">
        <is>
          <t>soccer_fifa_world_cup</t>
        </is>
      </c>
      <c r="D67" t="inlineStr">
        <is>
          <t>Spain vs Belgium</t>
        </is>
      </c>
      <c r="E67" t="inlineStr">
        <is>
          <t>Belgium</t>
        </is>
      </c>
      <c r="F67" t="inlineStr">
        <is>
          <t>h2h</t>
        </is>
      </c>
      <c r="G67" t="inlineStr">
        <is>
          <t>Unibet (SE)</t>
        </is>
      </c>
      <c r="H67" t="n">
        <v>7.5</v>
      </c>
      <c r="I67" t="n">
        <v>7.15</v>
      </c>
      <c r="J67" t="n">
        <v>5</v>
      </c>
      <c r="K67" t="n">
        <v>0.4</v>
      </c>
      <c r="L67" t="n">
        <v>20</v>
      </c>
      <c r="M67" t="n">
        <v>4</v>
      </c>
      <c r="N67" t="inlineStr">
        <is>
          <t>l</t>
        </is>
      </c>
      <c r="O67">
        <f>IF(UPPER(N67)="W",(H67-1)*L67,IF(UPPER(N67)="L",-L67,""))</f>
        <v/>
      </c>
      <c r="P67">
        <f>IF(UPPER(N67)="W",(H67-1)*M67,IF(UPPER(N67)="L",-M67,""))</f>
        <v/>
      </c>
    </row>
    <row r="68">
      <c r="A68" t="inlineStr">
        <is>
          <t>2026-07-10</t>
        </is>
      </c>
      <c r="B68" t="inlineStr">
        <is>
          <t>2026-07-12</t>
        </is>
      </c>
      <c r="C68" t="inlineStr">
        <is>
          <t>soccer_fifa_world_cup</t>
        </is>
      </c>
      <c r="D68" t="inlineStr">
        <is>
          <t>Argentina vs Switzerland</t>
        </is>
      </c>
      <c r="E68" t="inlineStr">
        <is>
          <t>Switzerland</t>
        </is>
      </c>
      <c r="F68" t="inlineStr">
        <is>
          <t>h2h</t>
        </is>
      </c>
      <c r="G68" t="inlineStr">
        <is>
          <t>Unibet (SE)</t>
        </is>
      </c>
      <c r="H68" t="n">
        <v>6.5</v>
      </c>
      <c r="I68" t="n">
        <v>6.32</v>
      </c>
      <c r="J68" t="n">
        <v>2.8</v>
      </c>
      <c r="K68" t="n">
        <v>0.3</v>
      </c>
      <c r="L68" t="n">
        <v>20</v>
      </c>
      <c r="M68" t="n">
        <v>3</v>
      </c>
      <c r="N68" t="inlineStr">
        <is>
          <t>l</t>
        </is>
      </c>
      <c r="O68">
        <f>IF(UPPER(N68)="W",(H68-1)*L68,IF(UPPER(N68)="L",-L68,""))</f>
        <v/>
      </c>
      <c r="P68">
        <f>IF(UPPER(N68)="W",(H68-1)*M68,IF(UPPER(N68)="L",-M68,""))</f>
        <v/>
      </c>
    </row>
    <row r="69">
      <c r="A69" t="inlineStr">
        <is>
          <t>2026-07-10</t>
        </is>
      </c>
      <c r="B69" t="inlineStr">
        <is>
          <t>2026-07-10</t>
        </is>
      </c>
      <c r="C69" t="inlineStr">
        <is>
          <t>soccer_league_of_ireland</t>
        </is>
      </c>
      <c r="D69" t="inlineStr">
        <is>
          <t>Waterford FC vs St Patricks Athletic</t>
        </is>
      </c>
      <c r="E69" t="inlineStr">
        <is>
          <t>St Patricks Athletic</t>
        </is>
      </c>
      <c r="F69" t="inlineStr">
        <is>
          <t>h2h</t>
        </is>
      </c>
      <c r="G69" t="inlineStr">
        <is>
          <t>Unibet (SE)</t>
        </is>
      </c>
      <c r="H69" t="n">
        <v>7.5</v>
      </c>
      <c r="I69" t="n">
        <v>5.75</v>
      </c>
      <c r="J69" t="n">
        <v>30.5</v>
      </c>
      <c r="K69" t="n">
        <v>2.3</v>
      </c>
      <c r="L69" t="n">
        <v>20</v>
      </c>
      <c r="M69" t="n">
        <v>23</v>
      </c>
      <c r="N69" t="inlineStr">
        <is>
          <t>l</t>
        </is>
      </c>
      <c r="O69">
        <f>IF(UPPER(N69)="W",(H69-1)*L69,IF(UPPER(N69)="L",-L69,""))</f>
        <v/>
      </c>
      <c r="P69">
        <f>IF(UPPER(N69)="W",(H69-1)*M69,IF(UPPER(N69)="L",-M69,""))</f>
        <v/>
      </c>
    </row>
    <row r="70">
      <c r="A70" t="inlineStr">
        <is>
          <t>2026-07-10</t>
        </is>
      </c>
      <c r="B70" t="inlineStr">
        <is>
          <t>2026-07-11</t>
        </is>
      </c>
      <c r="C70" t="inlineStr">
        <is>
          <t>soccer_sweden_allsvenskan</t>
        </is>
      </c>
      <c r="D70" t="inlineStr">
        <is>
          <t>Örgryte IS vs BK Hacken</t>
        </is>
      </c>
      <c r="E70" t="inlineStr">
        <is>
          <t>Örgryte IS</t>
        </is>
      </c>
      <c r="F70" t="inlineStr">
        <is>
          <t>h2h</t>
        </is>
      </c>
      <c r="G70" t="inlineStr">
        <is>
          <t>Unibet (SE)</t>
        </is>
      </c>
      <c r="H70" t="n">
        <v>7</v>
      </c>
      <c r="I70" t="n">
        <v>5.87</v>
      </c>
      <c r="J70" t="n">
        <v>19.3</v>
      </c>
      <c r="K70" t="n">
        <v>1.6</v>
      </c>
      <c r="L70" t="n">
        <v>20</v>
      </c>
      <c r="M70" t="n">
        <v>16</v>
      </c>
      <c r="N70" t="inlineStr">
        <is>
          <t>w</t>
        </is>
      </c>
      <c r="O70">
        <f>IF(UPPER(N70)="W",(H70-1)*L70,IF(UPPER(N70)="L",-L70,""))</f>
        <v/>
      </c>
      <c r="P70">
        <f>IF(UPPER(N70)="W",(H70-1)*M70,IF(UPPER(N70)="L",-M70,""))</f>
        <v/>
      </c>
    </row>
    <row r="71">
      <c r="A71" t="inlineStr">
        <is>
          <t>2026-07-10</t>
        </is>
      </c>
      <c r="B71" t="inlineStr">
        <is>
          <t>2026-07-12</t>
        </is>
      </c>
      <c r="C71" t="inlineStr">
        <is>
          <t>soccer_sweden_allsvenskan</t>
        </is>
      </c>
      <c r="D71" t="inlineStr">
        <is>
          <t>Västerås SK vs Degerfors IF</t>
        </is>
      </c>
      <c r="E71" t="inlineStr">
        <is>
          <t>Degerfors IF</t>
        </is>
      </c>
      <c r="F71" t="inlineStr">
        <is>
          <t>h2h</t>
        </is>
      </c>
      <c r="G71" t="inlineStr">
        <is>
          <t>Unibet (SE)</t>
        </is>
      </c>
      <c r="H71" t="n">
        <v>4.1</v>
      </c>
      <c r="I71" t="n">
        <v>3.85</v>
      </c>
      <c r="J71" t="n">
        <v>6.6</v>
      </c>
      <c r="K71" t="n">
        <v>1.1</v>
      </c>
      <c r="L71" t="n">
        <v>20</v>
      </c>
      <c r="M71" t="n">
        <v>11</v>
      </c>
      <c r="N71" t="inlineStr">
        <is>
          <t>l</t>
        </is>
      </c>
      <c r="O71">
        <f>IF(UPPER(N71)="W",(H71-1)*L71,IF(UPPER(N71)="L",-L71,""))</f>
        <v/>
      </c>
      <c r="P71">
        <f>IF(UPPER(N71)="W",(H71-1)*M71,IF(UPPER(N71)="L",-M71,""))</f>
        <v/>
      </c>
    </row>
    <row r="72">
      <c r="A72" t="inlineStr">
        <is>
          <t>2026-07-10</t>
        </is>
      </c>
      <c r="B72" t="inlineStr">
        <is>
          <t>2026-07-12</t>
        </is>
      </c>
      <c r="C72" t="inlineStr">
        <is>
          <t>soccer_sweden_allsvenskan</t>
        </is>
      </c>
      <c r="D72" t="inlineStr">
        <is>
          <t>Hammarby IF vs Kalmar FF</t>
        </is>
      </c>
      <c r="E72" t="inlineStr">
        <is>
          <t>Kalmar FF</t>
        </is>
      </c>
      <c r="F72" t="inlineStr">
        <is>
          <t>h2h</t>
        </is>
      </c>
      <c r="G72" t="inlineStr">
        <is>
          <t>Unibet (SE)</t>
        </is>
      </c>
      <c r="H72" t="n">
        <v>9</v>
      </c>
      <c r="I72" t="n">
        <v>7.81</v>
      </c>
      <c r="J72" t="n">
        <v>15.3</v>
      </c>
      <c r="K72" t="n">
        <v>1</v>
      </c>
      <c r="L72" t="n">
        <v>20</v>
      </c>
      <c r="M72" t="n">
        <v>10</v>
      </c>
      <c r="N72" t="inlineStr">
        <is>
          <t>l</t>
        </is>
      </c>
      <c r="O72">
        <f>IF(UPPER(N72)="W",(H72-1)*L72,IF(UPPER(N72)="L",-L72,""))</f>
        <v/>
      </c>
      <c r="P72">
        <f>IF(UPPER(N72)="W",(H72-1)*M72,IF(UPPER(N72)="L",-M72,""))</f>
        <v/>
      </c>
    </row>
    <row r="73">
      <c r="A73" t="inlineStr">
        <is>
          <t>2026-07-10</t>
        </is>
      </c>
      <c r="B73" t="inlineStr">
        <is>
          <t>2026-07-12</t>
        </is>
      </c>
      <c r="C73" t="inlineStr">
        <is>
          <t>soccer_sweden_allsvenskan</t>
        </is>
      </c>
      <c r="D73" t="inlineStr">
        <is>
          <t>Malmo FF vs IFK Goteborg</t>
        </is>
      </c>
      <c r="E73" t="inlineStr">
        <is>
          <t>IFK Goteborg</t>
        </is>
      </c>
      <c r="F73" t="inlineStr">
        <is>
          <t>h2h</t>
        </is>
      </c>
      <c r="G73" t="inlineStr">
        <is>
          <t>Unibet (SE)</t>
        </is>
      </c>
      <c r="H73" t="n">
        <v>4.7</v>
      </c>
      <c r="I73" t="n">
        <v>4</v>
      </c>
      <c r="J73" t="n">
        <v>17.4</v>
      </c>
      <c r="K73" t="n">
        <v>2.4</v>
      </c>
      <c r="L73" t="n">
        <v>20</v>
      </c>
      <c r="M73" t="n">
        <v>24</v>
      </c>
      <c r="N73" t="inlineStr">
        <is>
          <t>l</t>
        </is>
      </c>
      <c r="O73">
        <f>IF(UPPER(N73)="W",(H73-1)*L73,IF(UPPER(N73)="L",-L73,""))</f>
        <v/>
      </c>
      <c r="P73">
        <f>IF(UPPER(N73)="W",(H73-1)*M73,IF(UPPER(N73)="L",-M73,""))</f>
        <v/>
      </c>
    </row>
    <row r="74">
      <c r="A74" t="inlineStr">
        <is>
          <t>2026-07-10</t>
        </is>
      </c>
      <c r="B74" t="inlineStr">
        <is>
          <t>2026-07-12</t>
        </is>
      </c>
      <c r="C74" t="inlineStr">
        <is>
          <t>soccer_sweden_allsvenskan</t>
        </is>
      </c>
      <c r="D74" t="inlineStr">
        <is>
          <t>IF Brommapojkarna vs IK Sirius</t>
        </is>
      </c>
      <c r="E74" t="inlineStr">
        <is>
          <t>IF Brommapojkarna</t>
        </is>
      </c>
      <c r="F74" t="inlineStr">
        <is>
          <t>h2h</t>
        </is>
      </c>
      <c r="G74" t="inlineStr">
        <is>
          <t>Unibet (SE)</t>
        </is>
      </c>
      <c r="H74" t="n">
        <v>5.1</v>
      </c>
      <c r="I74" t="n">
        <v>4.87</v>
      </c>
      <c r="J74" t="n">
        <v>4.7</v>
      </c>
      <c r="K74" t="n">
        <v>0.6</v>
      </c>
      <c r="L74" t="n">
        <v>20</v>
      </c>
      <c r="M74" t="n">
        <v>6</v>
      </c>
      <c r="N74" t="inlineStr">
        <is>
          <t>l</t>
        </is>
      </c>
      <c r="O74">
        <f>IF(UPPER(N74)="W",(H74-1)*L74,IF(UPPER(N74)="L",-L74,""))</f>
        <v/>
      </c>
      <c r="P74">
        <f>IF(UPPER(N74)="W",(H74-1)*M74,IF(UPPER(N74)="L",-M74,""))</f>
        <v/>
      </c>
    </row>
    <row r="76">
      <c r="A76" t="inlineStr">
        <is>
          <t>2026-08-10</t>
        </is>
      </c>
      <c r="B76" t="inlineStr">
        <is>
          <t>2026-08-10</t>
        </is>
      </c>
      <c r="C76" t="inlineStr">
        <is>
          <t>soccer_sweden_allsvenskan</t>
        </is>
      </c>
      <c r="D76" t="inlineStr">
        <is>
          <t>Västerås SK vs Djurgardens IF</t>
        </is>
      </c>
      <c r="E76" t="inlineStr">
        <is>
          <t>Västerås SK</t>
        </is>
      </c>
      <c r="F76" t="inlineStr">
        <is>
          <t>h2h</t>
        </is>
      </c>
      <c r="G76" t="inlineStr">
        <is>
          <t>Unibet (SE)</t>
        </is>
      </c>
      <c r="H76" t="n">
        <v>4.5</v>
      </c>
      <c r="I76" t="n">
        <v>4.24</v>
      </c>
      <c r="J76" t="n">
        <v>6.1</v>
      </c>
      <c r="K76" t="n">
        <v>0.9</v>
      </c>
      <c r="L76" t="n">
        <v>20</v>
      </c>
      <c r="M76" t="n">
        <v>9</v>
      </c>
      <c r="N76" t="inlineStr">
        <is>
          <t>w</t>
        </is>
      </c>
      <c r="O76">
        <f>IF(UPPER(N76)="W",(H76-1)*L76,IF(UPPER(N76)="L",-L76,""))</f>
        <v/>
      </c>
      <c r="P76">
        <f>IF(UPPER(N76)="W",(H76-1)*M76,IF(UPPER(N76)="L",-M76,""))</f>
        <v/>
      </c>
    </row>
    <row r="77">
      <c r="A77" t="inlineStr">
        <is>
          <t>2026-08-10</t>
        </is>
      </c>
      <c r="B77" t="inlineStr">
        <is>
          <t>2026-08-10</t>
        </is>
      </c>
      <c r="C77" t="inlineStr">
        <is>
          <t>soccer_sweden_allsvenskan</t>
        </is>
      </c>
      <c r="D77" t="inlineStr">
        <is>
          <t>IK Sirius vs IF Brommapojkarna</t>
        </is>
      </c>
      <c r="E77" t="inlineStr">
        <is>
          <t>Draw</t>
        </is>
      </c>
      <c r="F77" t="inlineStr">
        <is>
          <t>h2h</t>
        </is>
      </c>
      <c r="G77" t="inlineStr">
        <is>
          <t>Unibet (SE)</t>
        </is>
      </c>
      <c r="H77" t="n">
        <v>6</v>
      </c>
      <c r="I77" t="n">
        <v>5.72</v>
      </c>
      <c r="J77" t="n">
        <v>4.9</v>
      </c>
      <c r="K77" t="n">
        <v>0.5</v>
      </c>
      <c r="L77" t="n">
        <v>20</v>
      </c>
      <c r="M77" t="n">
        <v>5</v>
      </c>
      <c r="N77" t="inlineStr">
        <is>
          <t>w</t>
        </is>
      </c>
      <c r="O77">
        <f>IF(UPPER(N77)="W",(H77-1)*L77,IF(UPPER(N77)="L",-L77,""))</f>
        <v/>
      </c>
      <c r="P77">
        <f>IF(UPPER(N77)="W",(H77-1)*M77,IF(UPPER(N77)="L",-M77,""))</f>
        <v/>
      </c>
    </row>
    <row r="79">
      <c r="A79" t="inlineStr">
        <is>
          <t>2026-08-24</t>
        </is>
      </c>
      <c r="B79" t="inlineStr">
        <is>
          <t>2026-08-25</t>
        </is>
      </c>
      <c r="C79" t="inlineStr">
        <is>
          <t>soccer_england_efl_cup</t>
        </is>
      </c>
      <c r="D79" t="inlineStr">
        <is>
          <t>Plymouth Argyle vs Coventry City</t>
        </is>
      </c>
      <c r="E79" t="inlineStr">
        <is>
          <t>Plymouth Argyle</t>
        </is>
      </c>
      <c r="F79" t="inlineStr">
        <is>
          <t>h2h</t>
        </is>
      </c>
      <c r="G79" t="inlineStr">
        <is>
          <t>Unibet (SE)</t>
        </is>
      </c>
      <c r="H79" t="n">
        <v>5.1</v>
      </c>
      <c r="I79" t="n">
        <v>4.81</v>
      </c>
      <c r="J79" t="n">
        <v>6</v>
      </c>
      <c r="K79" t="n">
        <v>0.7</v>
      </c>
      <c r="L79" t="n">
        <v>20</v>
      </c>
      <c r="M79" t="n">
        <v>7</v>
      </c>
      <c r="N79" t="inlineStr">
        <is>
          <t>l</t>
        </is>
      </c>
      <c r="O79">
        <f>IF(UPPER(N79)="W",(H79-1)*L79,IF(UPPER(N79)="L",-L79,""))</f>
        <v/>
      </c>
      <c r="P79">
        <f>IF(UPPER(N79)="W",(H79-1)*M79,IF(UPPER(N79)="L",-M79,""))</f>
        <v/>
      </c>
    </row>
    <row r="80">
      <c r="A80" t="inlineStr">
        <is>
          <t>2026-08-24</t>
        </is>
      </c>
      <c r="B80" t="inlineStr">
        <is>
          <t>2026-08-24</t>
        </is>
      </c>
      <c r="C80" t="inlineStr">
        <is>
          <t>soccer_germany_bundesliga_women</t>
        </is>
      </c>
      <c r="D80" t="inlineStr">
        <is>
          <t>FSV Mainz 05 vs Werder Bremen</t>
        </is>
      </c>
      <c r="E80" t="inlineStr">
        <is>
          <t>Werder Bremen</t>
        </is>
      </c>
      <c r="F80" t="inlineStr">
        <is>
          <t>h2h</t>
        </is>
      </c>
      <c r="G80" t="inlineStr">
        <is>
          <t>Unibet (SE)</t>
        </is>
      </c>
      <c r="H80" t="n">
        <v>1.68</v>
      </c>
      <c r="I80" t="n">
        <v>1.59</v>
      </c>
      <c r="J80" t="n">
        <v>5.7</v>
      </c>
      <c r="K80" t="n">
        <v>4.2</v>
      </c>
      <c r="L80" t="n">
        <v>20</v>
      </c>
      <c r="M80" t="n">
        <v>42</v>
      </c>
      <c r="N80" t="inlineStr">
        <is>
          <t>w</t>
        </is>
      </c>
      <c r="O80">
        <f>IF(UPPER(N80)="W",(H80-1)*L80,IF(UPPER(N80)="L",-L80,""))</f>
        <v/>
      </c>
      <c r="P80">
        <f>IF(UPPER(N80)="W",(H80-1)*M80,IF(UPPER(N80)="L",-M80,""))</f>
        <v/>
      </c>
    </row>
    <row r="81">
      <c r="A81" t="inlineStr">
        <is>
          <t>2026-08-24</t>
        </is>
      </c>
      <c r="B81" t="inlineStr">
        <is>
          <t>2026-08-24</t>
        </is>
      </c>
      <c r="C81" t="inlineStr">
        <is>
          <t>soccer_italy_serie_a</t>
        </is>
      </c>
      <c r="D81" t="inlineStr">
        <is>
          <t>AS Roma vs Fiorentina</t>
        </is>
      </c>
      <c r="E81" t="inlineStr">
        <is>
          <t>Fiorentina</t>
        </is>
      </c>
      <c r="F81" t="inlineStr">
        <is>
          <t>h2h</t>
        </is>
      </c>
      <c r="G81" t="inlineStr">
        <is>
          <t>Unibet (SE)</t>
        </is>
      </c>
      <c r="H81" t="n">
        <v>5.75</v>
      </c>
      <c r="I81" t="n">
        <v>5.4</v>
      </c>
      <c r="J81" t="n">
        <v>6.5</v>
      </c>
      <c r="K81" t="n">
        <v>0.7</v>
      </c>
      <c r="L81" t="n">
        <v>20</v>
      </c>
      <c r="M81" t="n">
        <v>7</v>
      </c>
      <c r="N81" t="inlineStr">
        <is>
          <t>l</t>
        </is>
      </c>
      <c r="O81">
        <f>IF(UPPER(N81)="W",(H81-1)*L81,IF(UPPER(N81)="L",-L81,""))</f>
        <v/>
      </c>
      <c r="P81">
        <f>IF(UPPER(N81)="W",(H81-1)*M81,IF(UPPER(N81)="L",-M81,""))</f>
        <v/>
      </c>
    </row>
    <row r="82">
      <c r="A82" t="inlineStr">
        <is>
          <t>2026-08-24</t>
        </is>
      </c>
      <c r="B82" t="inlineStr">
        <is>
          <t>2026-08-25</t>
        </is>
      </c>
      <c r="C82" t="inlineStr">
        <is>
          <t>soccer_sweden_superettan</t>
        </is>
      </c>
      <c r="D82" t="inlineStr">
        <is>
          <t>Östers IF vs GIF Sundsvall</t>
        </is>
      </c>
      <c r="E82" t="inlineStr">
        <is>
          <t>GIF Sundsvall</t>
        </is>
      </c>
      <c r="F82" t="inlineStr">
        <is>
          <t>h2h</t>
        </is>
      </c>
      <c r="G82" t="inlineStr">
        <is>
          <t>Unibet (SE)</t>
        </is>
      </c>
      <c r="H82" t="n">
        <v>4.8</v>
      </c>
      <c r="I82" t="n">
        <v>4.61</v>
      </c>
      <c r="J82" t="n">
        <v>4.1</v>
      </c>
      <c r="K82" t="n">
        <v>0.5</v>
      </c>
      <c r="L82" t="n">
        <v>20</v>
      </c>
      <c r="M82" t="n">
        <v>5</v>
      </c>
      <c r="N82" t="inlineStr">
        <is>
          <t>l</t>
        </is>
      </c>
      <c r="O82">
        <f>IF(UPPER(N82)="W",(H82-1)*L82,IF(UPPER(N82)="L",-L82,""))</f>
        <v/>
      </c>
      <c r="P82">
        <f>IF(UPPER(N82)="W",(H82-1)*M82,IF(UPPER(N82)="L",-M82,""))</f>
        <v/>
      </c>
    </row>
    <row r="84">
      <c r="A84" t="inlineStr">
        <is>
          <t>2026-08-27</t>
        </is>
      </c>
      <c r="B84" t="inlineStr">
        <is>
          <t>2026-08-26</t>
        </is>
      </c>
      <c r="C84" t="inlineStr">
        <is>
          <t>baseball_mlb</t>
        </is>
      </c>
      <c r="D84" t="inlineStr">
        <is>
          <t>St. Louis Cardinals vs Baltimore Orioles</t>
        </is>
      </c>
      <c r="E84" t="inlineStr">
        <is>
          <t>Baltimore Orioles</t>
        </is>
      </c>
      <c r="F84" t="inlineStr">
        <is>
          <t>h2h</t>
        </is>
      </c>
      <c r="G84" t="inlineStr">
        <is>
          <t>Unibet (SE)</t>
        </is>
      </c>
      <c r="H84" t="n">
        <v>2.16</v>
      </c>
      <c r="I84" t="n">
        <v>1.75</v>
      </c>
      <c r="J84" t="n">
        <v>23.6</v>
      </c>
      <c r="K84" t="n">
        <v>10.2</v>
      </c>
      <c r="L84" t="n">
        <v>20</v>
      </c>
      <c r="M84" t="n">
        <v>102</v>
      </c>
      <c r="N84" t="inlineStr">
        <is>
          <t>w</t>
        </is>
      </c>
      <c r="O84">
        <f>IF(UPPER(N84)="W",(H84-1)*L84,IF(UPPER(N84)="L",-L84,""))</f>
        <v/>
      </c>
      <c r="P84">
        <f>IF(UPPER(N84)="W",(H84-1)*M84,IF(UPPER(N84)="L",-M84,""))</f>
        <v/>
      </c>
    </row>
    <row r="85">
      <c r="A85" t="inlineStr">
        <is>
          <t>2026-08-27</t>
        </is>
      </c>
      <c r="B85" t="inlineStr">
        <is>
          <t>2026-08-27</t>
        </is>
      </c>
      <c r="C85" t="inlineStr">
        <is>
          <t>baseball_mlb</t>
        </is>
      </c>
      <c r="D85" t="inlineStr">
        <is>
          <t>Athletics vs Minnesota Twins</t>
        </is>
      </c>
      <c r="E85" t="inlineStr">
        <is>
          <t>Athletics</t>
        </is>
      </c>
      <c r="F85" t="inlineStr">
        <is>
          <t>h2h</t>
        </is>
      </c>
      <c r="G85" t="inlineStr">
        <is>
          <t>Unibet (SE)</t>
        </is>
      </c>
      <c r="H85" t="n">
        <v>4.5</v>
      </c>
      <c r="I85" t="n">
        <v>3.17</v>
      </c>
      <c r="J85" t="n">
        <v>42.1</v>
      </c>
      <c r="K85" t="n">
        <v>6</v>
      </c>
      <c r="L85" t="n">
        <v>20</v>
      </c>
      <c r="M85" t="n">
        <v>60</v>
      </c>
      <c r="N85" t="inlineStr">
        <is>
          <t>w</t>
        </is>
      </c>
      <c r="O85">
        <f>IF(UPPER(N85)="W",(H85-1)*L85,IF(UPPER(N85)="L",-L85,""))</f>
        <v/>
      </c>
      <c r="P85">
        <f>IF(UPPER(N85)="W",(H85-1)*M85,IF(UPPER(N85)="L",-M85,""))</f>
        <v/>
      </c>
    </row>
    <row r="86">
      <c r="A86" t="inlineStr">
        <is>
          <t>2026-08-27</t>
        </is>
      </c>
      <c r="B86" t="inlineStr">
        <is>
          <t>2026-08-29</t>
        </is>
      </c>
      <c r="C86" t="inlineStr">
        <is>
          <t>soccer_argentina_primera_division</t>
        </is>
      </c>
      <c r="D86" t="inlineStr">
        <is>
          <t>Deportivo Riestra vs Velez Sarsfield BA</t>
        </is>
      </c>
      <c r="E86" t="inlineStr">
        <is>
          <t>Deportivo Riestra</t>
        </is>
      </c>
      <c r="F86" t="inlineStr">
        <is>
          <t>h2h</t>
        </is>
      </c>
      <c r="G86" t="inlineStr">
        <is>
          <t>Unibet (SE)</t>
        </is>
      </c>
      <c r="H86" t="n">
        <v>3.1</v>
      </c>
      <c r="I86" t="n">
        <v>2.92</v>
      </c>
      <c r="J86" t="n">
        <v>6.3</v>
      </c>
      <c r="K86" t="n">
        <v>1.5</v>
      </c>
      <c r="L86" t="n">
        <v>20</v>
      </c>
      <c r="M86" t="n">
        <v>15</v>
      </c>
      <c r="O86">
        <f>IF(UPPER(N86)="W",(H86-1)*L86,IF(UPPER(N86)="L",-L86,""))</f>
        <v/>
      </c>
      <c r="P86">
        <f>IF(UPPER(N86)="W",(H86-1)*M86,IF(UPPER(N86)="L",-M86,""))</f>
        <v/>
      </c>
    </row>
    <row r="87">
      <c r="A87" t="inlineStr">
        <is>
          <t>2026-08-27</t>
        </is>
      </c>
      <c r="B87" t="inlineStr">
        <is>
          <t>2026-08-28</t>
        </is>
      </c>
      <c r="C87" t="inlineStr">
        <is>
          <t>soccer_china_superleague</t>
        </is>
      </c>
      <c r="D87" t="inlineStr">
        <is>
          <t>Dalian Yingbo vs Beijing FC</t>
        </is>
      </c>
      <c r="E87" t="inlineStr">
        <is>
          <t>Dalian Yingbo</t>
        </is>
      </c>
      <c r="F87" t="inlineStr">
        <is>
          <t>h2h</t>
        </is>
      </c>
      <c r="G87" t="inlineStr">
        <is>
          <t>Unibet (SE)</t>
        </is>
      </c>
      <c r="H87" t="n">
        <v>3.35</v>
      </c>
      <c r="I87" t="n">
        <v>3.19</v>
      </c>
      <c r="J87" t="n">
        <v>5</v>
      </c>
      <c r="K87" t="n">
        <v>1.1</v>
      </c>
      <c r="L87" t="n">
        <v>20</v>
      </c>
      <c r="M87" t="n">
        <v>11</v>
      </c>
      <c r="N87" t="inlineStr">
        <is>
          <t>l</t>
        </is>
      </c>
      <c r="O87">
        <f>IF(UPPER(N87)="W",(H87-1)*L87,IF(UPPER(N87)="L",-L87,""))</f>
        <v/>
      </c>
      <c r="P87">
        <f>IF(UPPER(N87)="W",(H87-1)*M87,IF(UPPER(N87)="L",-M87,""))</f>
        <v/>
      </c>
    </row>
    <row r="88">
      <c r="A88" t="inlineStr">
        <is>
          <t>2026-08-27</t>
        </is>
      </c>
      <c r="B88" t="inlineStr">
        <is>
          <t>2026-08-28</t>
        </is>
      </c>
      <c r="C88" t="inlineStr">
        <is>
          <t>soccer_china_superleague</t>
        </is>
      </c>
      <c r="D88" t="inlineStr">
        <is>
          <t>Shenzhen Peng City FC vs Shanghai SIPG FC</t>
        </is>
      </c>
      <c r="E88" t="inlineStr">
        <is>
          <t>Shenzhen Peng City FC</t>
        </is>
      </c>
      <c r="F88" t="inlineStr">
        <is>
          <t>h2h</t>
        </is>
      </c>
      <c r="G88" t="inlineStr">
        <is>
          <t>Unibet (SE)</t>
        </is>
      </c>
      <c r="H88" t="n">
        <v>3.5</v>
      </c>
      <c r="I88" t="n">
        <v>3.36</v>
      </c>
      <c r="J88" t="n">
        <v>4.1</v>
      </c>
      <c r="K88" t="n">
        <v>0.8</v>
      </c>
      <c r="L88" t="n">
        <v>20</v>
      </c>
      <c r="M88" t="n">
        <v>8</v>
      </c>
      <c r="N88" t="inlineStr">
        <is>
          <t>l</t>
        </is>
      </c>
      <c r="O88">
        <f>IF(UPPER(N88)="W",(H88-1)*L88,IF(UPPER(N88)="L",-L88,""))</f>
        <v/>
      </c>
      <c r="P88">
        <f>IF(UPPER(N88)="W",(H88-1)*M88,IF(UPPER(N88)="L",-M88,""))</f>
        <v/>
      </c>
    </row>
    <row r="89">
      <c r="A89" t="inlineStr">
        <is>
          <t>2026-08-27</t>
        </is>
      </c>
      <c r="B89" t="inlineStr">
        <is>
          <t>2026-08-28</t>
        </is>
      </c>
      <c r="C89" t="inlineStr">
        <is>
          <t>soccer_epl</t>
        </is>
      </c>
      <c r="D89" t="inlineStr">
        <is>
          <t>Crystal Palace vs Manchester City</t>
        </is>
      </c>
      <c r="E89" t="inlineStr">
        <is>
          <t>Crystal Palace</t>
        </is>
      </c>
      <c r="F89" t="inlineStr">
        <is>
          <t>h2h</t>
        </is>
      </c>
      <c r="G89" t="inlineStr">
        <is>
          <t>Unibet (SE)</t>
        </is>
      </c>
      <c r="H89" t="n">
        <v>5.8</v>
      </c>
      <c r="I89" t="n">
        <v>5.41</v>
      </c>
      <c r="J89" t="n">
        <v>7.2</v>
      </c>
      <c r="K89" t="n">
        <v>0.8</v>
      </c>
      <c r="L89" t="n">
        <v>20</v>
      </c>
      <c r="M89" t="n">
        <v>8</v>
      </c>
      <c r="N89" t="inlineStr">
        <is>
          <t>l</t>
        </is>
      </c>
      <c r="O89">
        <f>IF(UPPER(N89)="W",(H89-1)*L89,IF(UPPER(N89)="L",-L89,""))</f>
        <v/>
      </c>
      <c r="P89">
        <f>IF(UPPER(N89)="W",(H89-1)*M89,IF(UPPER(N89)="L",-M89,""))</f>
        <v/>
      </c>
    </row>
    <row r="90">
      <c r="A90" t="inlineStr">
        <is>
          <t>2026-08-27</t>
        </is>
      </c>
      <c r="B90" t="inlineStr">
        <is>
          <t>2026-08-29</t>
        </is>
      </c>
      <c r="C90" t="inlineStr">
        <is>
          <t>soccer_france_ligue_one</t>
        </is>
      </c>
      <c r="D90" t="inlineStr">
        <is>
          <t>Auxerre vs Angers</t>
        </is>
      </c>
      <c r="E90" t="inlineStr">
        <is>
          <t>Over 2.5</t>
        </is>
      </c>
      <c r="F90" t="inlineStr">
        <is>
          <t>totals</t>
        </is>
      </c>
      <c r="G90" t="inlineStr">
        <is>
          <t>Unibet (SE)</t>
        </is>
      </c>
      <c r="H90" t="n">
        <v>2.15</v>
      </c>
      <c r="I90" t="n">
        <v>2.1</v>
      </c>
      <c r="J90" t="n">
        <v>2.6</v>
      </c>
      <c r="K90" t="n">
        <v>1.1</v>
      </c>
      <c r="L90" t="n">
        <v>20</v>
      </c>
      <c r="M90" t="n">
        <v>11</v>
      </c>
      <c r="N90" t="inlineStr">
        <is>
          <t>w</t>
        </is>
      </c>
      <c r="O90">
        <f>IF(UPPER(N90)="W",(H90-1)*L90,IF(UPPER(N90)="L",-L90,""))</f>
        <v/>
      </c>
      <c r="P90">
        <f>IF(UPPER(N90)="W",(H90-1)*M90,IF(UPPER(N90)="L",-M90,""))</f>
        <v/>
      </c>
    </row>
    <row r="91">
      <c r="A91" t="inlineStr">
        <is>
          <t>2026-08-27</t>
        </is>
      </c>
      <c r="B91" t="inlineStr">
        <is>
          <t>2026-08-29</t>
        </is>
      </c>
      <c r="C91" t="inlineStr">
        <is>
          <t>soccer_france_ligue_one</t>
        </is>
      </c>
      <c r="D91" t="inlineStr">
        <is>
          <t>Lyon vs Le Havre</t>
        </is>
      </c>
      <c r="E91" t="inlineStr">
        <is>
          <t>Le Havre</t>
        </is>
      </c>
      <c r="F91" t="inlineStr">
        <is>
          <t>h2h</t>
        </is>
      </c>
      <c r="G91" t="inlineStr">
        <is>
          <t>Unibet (SE)</t>
        </is>
      </c>
      <c r="H91" t="n">
        <v>7.5</v>
      </c>
      <c r="I91" t="n">
        <v>7.07</v>
      </c>
      <c r="J91" t="n">
        <v>6</v>
      </c>
      <c r="K91" t="n">
        <v>0.5</v>
      </c>
      <c r="L91" t="n">
        <v>20</v>
      </c>
      <c r="M91" t="n">
        <v>5</v>
      </c>
      <c r="N91" t="inlineStr">
        <is>
          <t>l</t>
        </is>
      </c>
      <c r="O91">
        <f>IF(UPPER(N91)="W",(H91-1)*L91,IF(UPPER(N91)="L",-L91,""))</f>
        <v/>
      </c>
      <c r="P91">
        <f>IF(UPPER(N91)="W",(H91-1)*M91,IF(UPPER(N91)="L",-M91,""))</f>
        <v/>
      </c>
    </row>
    <row r="92">
      <c r="A92" t="inlineStr">
        <is>
          <t>2026-08-27</t>
        </is>
      </c>
      <c r="B92" t="inlineStr">
        <is>
          <t>2026-08-29</t>
        </is>
      </c>
      <c r="C92" t="inlineStr">
        <is>
          <t>soccer_germany_bundesliga</t>
        </is>
      </c>
      <c r="D92" t="inlineStr">
        <is>
          <t>Elversberg vs Bayer Leverkusen</t>
        </is>
      </c>
      <c r="E92" t="inlineStr">
        <is>
          <t>Elversberg</t>
        </is>
      </c>
      <c r="F92" t="inlineStr">
        <is>
          <t>h2h</t>
        </is>
      </c>
      <c r="G92" t="inlineStr">
        <is>
          <t>Unibet (SE)</t>
        </is>
      </c>
      <c r="H92" t="n">
        <v>5.75</v>
      </c>
      <c r="I92" t="n">
        <v>5.08</v>
      </c>
      <c r="J92" t="n">
        <v>13.3</v>
      </c>
      <c r="K92" t="n">
        <v>1.4</v>
      </c>
      <c r="L92" t="n">
        <v>20</v>
      </c>
      <c r="M92" t="n">
        <v>14</v>
      </c>
      <c r="N92" t="inlineStr">
        <is>
          <t>w</t>
        </is>
      </c>
      <c r="O92">
        <f>IF(UPPER(N92)="W",(H92-1)*L92,IF(UPPER(N92)="L",-L92,""))</f>
        <v/>
      </c>
      <c r="P92">
        <f>IF(UPPER(N92)="W",(H92-1)*M92,IF(UPPER(N92)="L",-M92,""))</f>
        <v/>
      </c>
    </row>
    <row r="93">
      <c r="A93" t="inlineStr">
        <is>
          <t>2026-08-27</t>
        </is>
      </c>
      <c r="B93" t="inlineStr">
        <is>
          <t>2026-08-29</t>
        </is>
      </c>
      <c r="C93" t="inlineStr">
        <is>
          <t>soccer_poland_ekstraklasa</t>
        </is>
      </c>
      <c r="D93" t="inlineStr">
        <is>
          <t>Wisła Kraków vs Wieczysta Kraków</t>
        </is>
      </c>
      <c r="E93" t="inlineStr">
        <is>
          <t>Wisła Kraków</t>
        </is>
      </c>
      <c r="F93" t="inlineStr">
        <is>
          <t>h2h</t>
        </is>
      </c>
      <c r="G93" t="inlineStr">
        <is>
          <t>Unibet (SE)</t>
        </is>
      </c>
      <c r="H93" t="n">
        <v>1.88</v>
      </c>
      <c r="I93" t="n">
        <v>1.82</v>
      </c>
      <c r="J93" t="n">
        <v>3.1</v>
      </c>
      <c r="K93" t="n">
        <v>1.8</v>
      </c>
      <c r="L93" t="n">
        <v>20</v>
      </c>
      <c r="M93" t="n">
        <v>18</v>
      </c>
      <c r="N93" t="inlineStr">
        <is>
          <t>w</t>
        </is>
      </c>
      <c r="O93">
        <f>IF(UPPER(N93)="W",(H93-1)*L93,IF(UPPER(N93)="L",-L93,""))</f>
        <v/>
      </c>
      <c r="P93">
        <f>IF(UPPER(N93)="W",(H93-1)*M93,IF(UPPER(N93)="L",-M93,""))</f>
        <v/>
      </c>
    </row>
    <row r="94">
      <c r="A94" t="inlineStr">
        <is>
          <t>2026-08-27</t>
        </is>
      </c>
      <c r="B94" t="inlineStr">
        <is>
          <t>2026-08-29</t>
        </is>
      </c>
      <c r="C94" t="inlineStr">
        <is>
          <t>soccer_poland_ekstraklasa</t>
        </is>
      </c>
      <c r="D94" t="inlineStr">
        <is>
          <t>Zagłębie Lubin vs Pogoń Szczecin</t>
        </is>
      </c>
      <c r="E94" t="inlineStr">
        <is>
          <t>Pogoń Szczecin</t>
        </is>
      </c>
      <c r="F94" t="inlineStr">
        <is>
          <t>h2h</t>
        </is>
      </c>
      <c r="G94" t="inlineStr">
        <is>
          <t>Unibet (SE)</t>
        </is>
      </c>
      <c r="H94" t="n">
        <v>2.85</v>
      </c>
      <c r="I94" t="n">
        <v>2.74</v>
      </c>
      <c r="J94" t="n">
        <v>4</v>
      </c>
      <c r="K94" t="n">
        <v>1.1</v>
      </c>
      <c r="L94" t="n">
        <v>20</v>
      </c>
      <c r="M94" t="n">
        <v>11</v>
      </c>
      <c r="N94" t="inlineStr">
        <is>
          <t>l</t>
        </is>
      </c>
      <c r="O94">
        <f>IF(UPPER(N94)="W",(H94-1)*L94,IF(UPPER(N94)="L",-L94,""))</f>
        <v/>
      </c>
      <c r="P94">
        <f>IF(UPPER(N94)="W",(H94-1)*M94,IF(UPPER(N94)="L",-M94,""))</f>
        <v/>
      </c>
    </row>
    <row r="95">
      <c r="A95" t="inlineStr">
        <is>
          <t>2026-08-27</t>
        </is>
      </c>
      <c r="B95" t="inlineStr">
        <is>
          <t>2026-08-28</t>
        </is>
      </c>
      <c r="C95" t="inlineStr">
        <is>
          <t>soccer_saudi_arabia_pro_league</t>
        </is>
      </c>
      <c r="D95" t="inlineStr">
        <is>
          <t>Al-Fayha vs Abha Club</t>
        </is>
      </c>
      <c r="E95" t="inlineStr">
        <is>
          <t>Abha Club</t>
        </is>
      </c>
      <c r="F95" t="inlineStr">
        <is>
          <t>h2h</t>
        </is>
      </c>
      <c r="G95" t="inlineStr">
        <is>
          <t>Unibet (SE)</t>
        </is>
      </c>
      <c r="H95" t="n">
        <v>3.25</v>
      </c>
      <c r="I95" t="n">
        <v>3.13</v>
      </c>
      <c r="J95" t="n">
        <v>3.8</v>
      </c>
      <c r="K95" t="n">
        <v>0.8</v>
      </c>
      <c r="L95" t="n">
        <v>20</v>
      </c>
      <c r="M95" t="n">
        <v>8</v>
      </c>
      <c r="N95" t="inlineStr">
        <is>
          <t>l</t>
        </is>
      </c>
      <c r="O95">
        <f>IF(UPPER(N95)="W",(H95-1)*L95,IF(UPPER(N95)="L",-L95,""))</f>
        <v/>
      </c>
      <c r="P95">
        <f>IF(UPPER(N95)="W",(H95-1)*M95,IF(UPPER(N95)="L",-M95,""))</f>
        <v/>
      </c>
    </row>
    <row r="96">
      <c r="A96" t="inlineStr">
        <is>
          <t>2026-08-27</t>
        </is>
      </c>
      <c r="B96" t="inlineStr">
        <is>
          <t>2026-08-28</t>
        </is>
      </c>
      <c r="C96" t="inlineStr">
        <is>
          <t>soccer_spain_la_liga</t>
        </is>
      </c>
      <c r="D96" t="inlineStr">
        <is>
          <t>Real Racing Club de Santander vs Elche CF</t>
        </is>
      </c>
      <c r="E96" t="inlineStr">
        <is>
          <t>Real Racing Club de Santander</t>
        </is>
      </c>
      <c r="F96" t="inlineStr">
        <is>
          <t>h2h</t>
        </is>
      </c>
      <c r="G96" t="inlineStr">
        <is>
          <t>Unibet (SE)</t>
        </is>
      </c>
      <c r="H96" t="n">
        <v>2.23</v>
      </c>
      <c r="I96" t="n">
        <v>2.15</v>
      </c>
      <c r="J96" t="n">
        <v>3.7</v>
      </c>
      <c r="K96" t="n">
        <v>1.5</v>
      </c>
      <c r="L96" t="n">
        <v>20</v>
      </c>
      <c r="M96" t="n">
        <v>15</v>
      </c>
      <c r="N96" t="inlineStr">
        <is>
          <t>w</t>
        </is>
      </c>
      <c r="O96">
        <f>IF(UPPER(N96)="W",(H96-1)*L96,IF(UPPER(N96)="L",-L96,""))</f>
        <v/>
      </c>
      <c r="P96">
        <f>IF(UPPER(N96)="W",(H96-1)*M96,IF(UPPER(N96)="L",-M96,""))</f>
        <v/>
      </c>
    </row>
    <row r="98">
      <c r="A98" t="inlineStr">
        <is>
          <t>2026-09-17</t>
        </is>
      </c>
      <c r="B98" t="inlineStr">
        <is>
          <t>2026-09-18</t>
        </is>
      </c>
      <c r="C98" t="inlineStr">
        <is>
          <t>soccer_brazil_serie_b</t>
        </is>
      </c>
      <c r="D98" t="inlineStr">
        <is>
          <t>Ceará vs Grêmio Novorizontino</t>
        </is>
      </c>
      <c r="E98" t="inlineStr">
        <is>
          <t>Grêmio Novorizontino</t>
        </is>
      </c>
      <c r="F98" t="inlineStr">
        <is>
          <t>h2h</t>
        </is>
      </c>
      <c r="G98" t="inlineStr">
        <is>
          <t>Unibet (SE)</t>
        </is>
      </c>
      <c r="H98" t="n">
        <v>2.6</v>
      </c>
      <c r="I98" t="n">
        <v>2.53</v>
      </c>
      <c r="J98" t="n">
        <v>2.6</v>
      </c>
      <c r="K98" t="n">
        <v>0.8</v>
      </c>
      <c r="L98" t="n">
        <v>20</v>
      </c>
      <c r="M98" t="n">
        <v>8</v>
      </c>
      <c r="N98" t="inlineStr">
        <is>
          <t>l</t>
        </is>
      </c>
      <c r="O98">
        <f>IF(UPPER(N98)="W",(H98-1)*L98,IF(UPPER(N98)="L",-L98,""))</f>
        <v/>
      </c>
      <c r="P98">
        <f>IF(UPPER(N98)="W",(H98-1)*M98,IF(UPPER(N98)="L",-M98,""))</f>
        <v/>
      </c>
    </row>
    <row r="99">
      <c r="A99" t="inlineStr">
        <is>
          <t>2026-09-17</t>
        </is>
      </c>
      <c r="B99" t="inlineStr">
        <is>
          <t>2026-09-19</t>
        </is>
      </c>
      <c r="C99" t="inlineStr">
        <is>
          <t>soccer_france_ligue_one</t>
        </is>
      </c>
      <c r="D99" t="inlineStr">
        <is>
          <t>Angers vs Troyes</t>
        </is>
      </c>
      <c r="E99" t="inlineStr">
        <is>
          <t>Troyes</t>
        </is>
      </c>
      <c r="F99" t="inlineStr">
        <is>
          <t>h2h</t>
        </is>
      </c>
      <c r="G99" t="inlineStr">
        <is>
          <t>Unibet (SE)</t>
        </is>
      </c>
      <c r="H99" t="n">
        <v>3.6</v>
      </c>
      <c r="I99" t="n">
        <v>3.47</v>
      </c>
      <c r="J99" t="n">
        <v>3.9</v>
      </c>
      <c r="K99" t="n">
        <v>0.7</v>
      </c>
      <c r="L99" t="n">
        <v>20</v>
      </c>
      <c r="M99" t="n">
        <v>7</v>
      </c>
      <c r="N99" t="inlineStr">
        <is>
          <t>l</t>
        </is>
      </c>
      <c r="O99">
        <f>IF(UPPER(N99)="W",(H99-1)*L99,IF(UPPER(N99)="L",-L99,""))</f>
        <v/>
      </c>
      <c r="P99">
        <f>IF(UPPER(N99)="W",(H99-1)*M99,IF(UPPER(N99)="L",-M99,""))</f>
        <v/>
      </c>
    </row>
    <row r="100">
      <c r="A100" t="inlineStr">
        <is>
          <t>2026-09-17</t>
        </is>
      </c>
      <c r="B100" t="inlineStr">
        <is>
          <t>2026-09-19</t>
        </is>
      </c>
      <c r="C100" t="inlineStr">
        <is>
          <t>soccer_germany_bundesliga</t>
        </is>
      </c>
      <c r="D100" t="inlineStr">
        <is>
          <t>VfB Stuttgart vs Borussia Dortmund</t>
        </is>
      </c>
      <c r="E100" t="inlineStr">
        <is>
          <t>Draw</t>
        </is>
      </c>
      <c r="F100" t="inlineStr">
        <is>
          <t>h2h</t>
        </is>
      </c>
      <c r="G100" t="inlineStr">
        <is>
          <t>Unibet (SE)</t>
        </is>
      </c>
      <c r="H100" t="n">
        <v>4</v>
      </c>
      <c r="I100" t="n">
        <v>3.87</v>
      </c>
      <c r="J100" t="n">
        <v>3.5</v>
      </c>
      <c r="K100" t="n">
        <v>0.6</v>
      </c>
      <c r="L100" t="n">
        <v>20</v>
      </c>
      <c r="M100" t="n">
        <v>6</v>
      </c>
      <c r="N100" t="inlineStr">
        <is>
          <t>l</t>
        </is>
      </c>
      <c r="O100">
        <f>IF(UPPER(N100)="W",(H100-1)*L100,IF(UPPER(N100)="L",-L100,""))</f>
        <v/>
      </c>
      <c r="P100">
        <f>IF(UPPER(N100)="W",(H100-1)*M100,IF(UPPER(N100)="L",-M100,""))</f>
        <v/>
      </c>
    </row>
    <row r="101">
      <c r="A101" t="inlineStr">
        <is>
          <t>2026-09-17</t>
        </is>
      </c>
      <c r="B101" t="inlineStr">
        <is>
          <t>2026-09-19</t>
        </is>
      </c>
      <c r="C101" t="inlineStr">
        <is>
          <t>soccer_germany_liga3</t>
        </is>
      </c>
      <c r="D101" t="inlineStr">
        <is>
          <t>1. FC Saarbrücken vs SG Sonnenhof Großaspach</t>
        </is>
      </c>
      <c r="E101" t="inlineStr">
        <is>
          <t>SG Sonnenhof Großaspach</t>
        </is>
      </c>
      <c r="F101" t="inlineStr">
        <is>
          <t>h2h</t>
        </is>
      </c>
      <c r="G101" t="inlineStr">
        <is>
          <t>Unibet (SE)</t>
        </is>
      </c>
      <c r="H101" t="n">
        <v>3.9</v>
      </c>
      <c r="I101" t="n">
        <v>3.49</v>
      </c>
      <c r="J101" t="n">
        <v>11.7</v>
      </c>
      <c r="K101" t="n">
        <v>2</v>
      </c>
      <c r="L101" t="n">
        <v>20</v>
      </c>
      <c r="M101" t="n">
        <v>20</v>
      </c>
      <c r="N101" t="inlineStr">
        <is>
          <t>l</t>
        </is>
      </c>
      <c r="O101">
        <f>IF(UPPER(N101)="W",(H101-1)*L101,IF(UPPER(N101)="L",-L101,""))</f>
        <v/>
      </c>
      <c r="P101">
        <f>IF(UPPER(N101)="W",(H101-1)*M101,IF(UPPER(N101)="L",-M101,""))</f>
        <v/>
      </c>
    </row>
    <row r="102">
      <c r="A102" t="inlineStr">
        <is>
          <t>2026-09-17</t>
        </is>
      </c>
      <c r="B102" t="inlineStr">
        <is>
          <t>2026-09-19</t>
        </is>
      </c>
      <c r="C102" t="inlineStr">
        <is>
          <t>soccer_italy_serie_a</t>
        </is>
      </c>
      <c r="D102" t="inlineStr">
        <is>
          <t>AS Roma vs Inter Milan</t>
        </is>
      </c>
      <c r="E102" t="inlineStr">
        <is>
          <t>Draw</t>
        </is>
      </c>
      <c r="F102" t="inlineStr">
        <is>
          <t>h2h</t>
        </is>
      </c>
      <c r="G102" t="inlineStr">
        <is>
          <t>Unibet (SE)</t>
        </is>
      </c>
      <c r="H102" t="n">
        <v>3.7</v>
      </c>
      <c r="I102" t="n">
        <v>3.6</v>
      </c>
      <c r="J102" t="n">
        <v>2.8</v>
      </c>
      <c r="K102" t="n">
        <v>0.5</v>
      </c>
      <c r="L102" t="n">
        <v>20</v>
      </c>
      <c r="M102" t="n">
        <v>5</v>
      </c>
      <c r="N102" t="inlineStr">
        <is>
          <t>w</t>
        </is>
      </c>
      <c r="O102">
        <f>IF(UPPER(N102)="W",(H102-1)*L102,IF(UPPER(N102)="L",-L102,""))</f>
        <v/>
      </c>
      <c r="P102">
        <f>IF(UPPER(N102)="W",(H102-1)*M102,IF(UPPER(N102)="L",-M102,""))</f>
        <v/>
      </c>
    </row>
    <row r="103">
      <c r="A103" t="inlineStr">
        <is>
          <t>2026-09-17</t>
        </is>
      </c>
      <c r="B103" t="inlineStr">
        <is>
          <t>2026-09-18</t>
        </is>
      </c>
      <c r="C103" t="inlineStr">
        <is>
          <t>soccer_league_of_ireland</t>
        </is>
      </c>
      <c r="D103" t="inlineStr">
        <is>
          <t>Derry City vs Galway United</t>
        </is>
      </c>
      <c r="E103" t="inlineStr">
        <is>
          <t>Galway United</t>
        </is>
      </c>
      <c r="F103" t="inlineStr">
        <is>
          <t>h2h</t>
        </is>
      </c>
      <c r="G103" t="inlineStr">
        <is>
          <t>Unibet (SE)</t>
        </is>
      </c>
      <c r="H103" t="n">
        <v>4.3</v>
      </c>
      <c r="I103" t="n">
        <v>4.11</v>
      </c>
      <c r="J103" t="n">
        <v>4.7</v>
      </c>
      <c r="K103" t="n">
        <v>0.7</v>
      </c>
      <c r="L103" t="n">
        <v>20</v>
      </c>
      <c r="M103" t="n">
        <v>7</v>
      </c>
      <c r="N103" t="inlineStr">
        <is>
          <t>l</t>
        </is>
      </c>
      <c r="O103">
        <f>IF(UPPER(N103)="W",(H103-1)*L103,IF(UPPER(N103)="L",-L103,""))</f>
        <v/>
      </c>
      <c r="P103">
        <f>IF(UPPER(N103)="W",(H103-1)*M103,IF(UPPER(N103)="L",-M103,""))</f>
        <v/>
      </c>
    </row>
    <row r="104">
      <c r="A104" t="inlineStr">
        <is>
          <t>2026-09-17</t>
        </is>
      </c>
      <c r="B104" t="inlineStr">
        <is>
          <t>2026-09-19</t>
        </is>
      </c>
      <c r="C104" t="inlineStr">
        <is>
          <t>soccer_mexico_ligamx</t>
        </is>
      </c>
      <c r="D104" t="inlineStr">
        <is>
          <t>Atlas vs Pumas</t>
        </is>
      </c>
      <c r="E104" t="inlineStr">
        <is>
          <t>Draw</t>
        </is>
      </c>
      <c r="F104" t="inlineStr">
        <is>
          <t>h2h</t>
        </is>
      </c>
      <c r="G104" t="inlineStr">
        <is>
          <t>Unibet (SE)</t>
        </is>
      </c>
      <c r="H104" t="n">
        <v>3.35</v>
      </c>
      <c r="I104" t="n">
        <v>3.22</v>
      </c>
      <c r="J104" t="n">
        <v>4</v>
      </c>
      <c r="K104" t="n">
        <v>0.9</v>
      </c>
      <c r="L104" t="n">
        <v>20</v>
      </c>
      <c r="M104" t="n">
        <v>9</v>
      </c>
      <c r="N104" t="inlineStr">
        <is>
          <t>w</t>
        </is>
      </c>
      <c r="O104">
        <f>IF(UPPER(N104)="W",(H104-1)*L104,IF(UPPER(N104)="L",-L104,""))</f>
        <v/>
      </c>
      <c r="P104">
        <f>IF(UPPER(N104)="W",(H104-1)*M104,IF(UPPER(N104)="L",-M104,""))</f>
        <v/>
      </c>
    </row>
    <row r="105">
      <c r="A105" t="inlineStr">
        <is>
          <t>2026-09-17</t>
        </is>
      </c>
      <c r="B105" t="inlineStr">
        <is>
          <t>2026-09-17</t>
        </is>
      </c>
      <c r="C105" t="inlineStr">
        <is>
          <t>soccer_uefa_europa_league</t>
        </is>
      </c>
      <c r="D105" t="inlineStr">
        <is>
          <t>Viktoria Plzeň vs Union Saint-Gilloise</t>
        </is>
      </c>
      <c r="E105" t="inlineStr">
        <is>
          <t>Viktoria Plzeň</t>
        </is>
      </c>
      <c r="F105" t="inlineStr">
        <is>
          <t>h2h</t>
        </is>
      </c>
      <c r="G105" t="inlineStr">
        <is>
          <t>Unibet (SE)</t>
        </is>
      </c>
      <c r="H105" t="n">
        <v>2.63</v>
      </c>
      <c r="I105" t="n">
        <v>2.56</v>
      </c>
      <c r="J105" t="n">
        <v>2.6</v>
      </c>
      <c r="K105" t="n">
        <v>0.8</v>
      </c>
      <c r="L105" t="n">
        <v>20</v>
      </c>
      <c r="M105" t="n">
        <v>8</v>
      </c>
      <c r="N105" t="inlineStr">
        <is>
          <t>l</t>
        </is>
      </c>
      <c r="O105">
        <f>IF(UPPER(N105)="W",(H105-1)*L105,IF(UPPER(N105)="L",-L105,""))</f>
        <v/>
      </c>
      <c r="P105">
        <f>IF(UPPER(N105)="W",(H105-1)*M105,IF(UPPER(N105)="L",-M105,""))</f>
        <v/>
      </c>
    </row>
    <row r="107">
      <c r="A107" t="inlineStr">
        <is>
          <t>2026-09-20</t>
        </is>
      </c>
      <c r="B107" t="inlineStr">
        <is>
          <t>2026-09-20</t>
        </is>
      </c>
      <c r="C107" t="inlineStr">
        <is>
          <t>baseball_npb</t>
        </is>
      </c>
      <c r="D107" t="inlineStr">
        <is>
          <t>Chunichi Dragons vs Hiroshima Toyo Carp</t>
        </is>
      </c>
      <c r="E107" t="inlineStr">
        <is>
          <t>Hiroshima Toyo Carp</t>
        </is>
      </c>
      <c r="F107" t="inlineStr">
        <is>
          <t>h2h</t>
        </is>
      </c>
      <c r="G107" t="inlineStr">
        <is>
          <t>Unibet (SE)</t>
        </is>
      </c>
      <c r="H107" t="n">
        <v>8.5</v>
      </c>
      <c r="I107" t="n">
        <v>7.97</v>
      </c>
      <c r="J107" t="n">
        <v>6.6</v>
      </c>
      <c r="K107" t="n">
        <v>0.4</v>
      </c>
      <c r="L107" t="n">
        <v>20</v>
      </c>
      <c r="M107" t="n">
        <v>4</v>
      </c>
      <c r="N107" t="inlineStr">
        <is>
          <t>l</t>
        </is>
      </c>
      <c r="O107">
        <f>IF(UPPER(N107)="W",(H107-1)*L107,IF(UPPER(N107)="L",-L107,""))</f>
        <v/>
      </c>
      <c r="P107">
        <f>IF(UPPER(N107)="W",(H107-1)*M107,IF(UPPER(N107)="L",-M107,""))</f>
        <v/>
      </c>
    </row>
    <row r="108">
      <c r="A108" t="inlineStr">
        <is>
          <t>2026-09-20</t>
        </is>
      </c>
      <c r="B108" t="inlineStr">
        <is>
          <t>2026-09-20</t>
        </is>
      </c>
      <c r="C108" t="inlineStr">
        <is>
          <t>baseball_npb</t>
        </is>
      </c>
      <c r="D108" t="inlineStr">
        <is>
          <t>Hanshin Tigers vs Yokohama DeNA BayStars</t>
        </is>
      </c>
      <c r="E108" t="inlineStr">
        <is>
          <t>Yokohama DeNA BayStars</t>
        </is>
      </c>
      <c r="F108" t="inlineStr">
        <is>
          <t>h2h</t>
        </is>
      </c>
      <c r="G108" t="inlineStr">
        <is>
          <t>Unibet (SE)</t>
        </is>
      </c>
      <c r="H108" t="n">
        <v>4.4</v>
      </c>
      <c r="I108" t="n">
        <v>2.57</v>
      </c>
      <c r="J108" t="n">
        <v>71</v>
      </c>
      <c r="K108" t="n">
        <v>10.4</v>
      </c>
      <c r="L108" t="n">
        <v>20</v>
      </c>
      <c r="M108" t="n">
        <v>104</v>
      </c>
      <c r="N108" t="inlineStr">
        <is>
          <t>l</t>
        </is>
      </c>
      <c r="O108">
        <f>IF(UPPER(N108)="W",(H108-1)*L108,IF(UPPER(N108)="L",-L108,""))</f>
        <v/>
      </c>
      <c r="P108">
        <f>IF(UPPER(N108)="W",(H108-1)*M108,IF(UPPER(N108)="L",-M108,""))</f>
        <v/>
      </c>
    </row>
    <row r="109">
      <c r="A109" t="inlineStr">
        <is>
          <t>2026-09-20</t>
        </is>
      </c>
      <c r="B109" t="inlineStr">
        <is>
          <t>2026-09-20</t>
        </is>
      </c>
      <c r="C109" t="inlineStr">
        <is>
          <t>soccer_austria_bundesliga</t>
        </is>
      </c>
      <c r="D109" t="inlineStr">
        <is>
          <t>Ried vs Wolfsberger AC</t>
        </is>
      </c>
      <c r="E109" t="inlineStr">
        <is>
          <t>Draw</t>
        </is>
      </c>
      <c r="F109" t="inlineStr">
        <is>
          <t>h2h</t>
        </is>
      </c>
      <c r="G109" t="inlineStr">
        <is>
          <t>Unibet (SE)</t>
        </is>
      </c>
      <c r="H109" t="n">
        <v>3.8</v>
      </c>
      <c r="I109" t="n">
        <v>3.68</v>
      </c>
      <c r="J109" t="n">
        <v>3.3</v>
      </c>
      <c r="K109" t="n">
        <v>0.6</v>
      </c>
      <c r="L109" t="n">
        <v>20</v>
      </c>
      <c r="M109" t="n">
        <v>6</v>
      </c>
      <c r="N109" t="inlineStr">
        <is>
          <t>l</t>
        </is>
      </c>
      <c r="O109">
        <f>IF(UPPER(N109)="W",(H109-1)*L109,IF(UPPER(N109)="L",-L109,""))</f>
        <v/>
      </c>
      <c r="P109">
        <f>IF(UPPER(N109)="W",(H109-1)*M109,IF(UPPER(N109)="L",-M109,""))</f>
        <v/>
      </c>
    </row>
    <row r="110">
      <c r="A110" t="inlineStr">
        <is>
          <t>2026-09-20</t>
        </is>
      </c>
      <c r="B110" t="inlineStr">
        <is>
          <t>2026-09-20</t>
        </is>
      </c>
      <c r="C110" t="inlineStr">
        <is>
          <t>soccer_belgium_first_div</t>
        </is>
      </c>
      <c r="D110" t="inlineStr">
        <is>
          <t>Club Brugge vs Genk</t>
        </is>
      </c>
      <c r="E110" t="inlineStr">
        <is>
          <t>Genk</t>
        </is>
      </c>
      <c r="F110" t="inlineStr">
        <is>
          <t>h2h</t>
        </is>
      </c>
      <c r="G110" t="inlineStr">
        <is>
          <t>Unibet (SE)</t>
        </is>
      </c>
      <c r="H110" t="n">
        <v>5.6</v>
      </c>
      <c r="I110" t="n">
        <v>5.42</v>
      </c>
      <c r="J110" t="n">
        <v>3.3</v>
      </c>
      <c r="K110" t="n">
        <v>0.4</v>
      </c>
      <c r="L110" t="n">
        <v>20</v>
      </c>
      <c r="M110" t="n">
        <v>4</v>
      </c>
      <c r="N110" t="inlineStr">
        <is>
          <t>l</t>
        </is>
      </c>
      <c r="O110">
        <f>IF(UPPER(N110)="W",(H110-1)*L110,IF(UPPER(N110)="L",-L110,""))</f>
        <v/>
      </c>
      <c r="P110">
        <f>IF(UPPER(N110)="W",(H110-1)*M110,IF(UPPER(N110)="L",-M110,""))</f>
        <v/>
      </c>
    </row>
    <row r="112">
      <c r="A112" t="inlineStr">
        <is>
          <t>2026-09-22</t>
        </is>
      </c>
      <c r="B112" t="inlineStr">
        <is>
          <t>2026-09-22</t>
        </is>
      </c>
      <c r="C112" t="inlineStr">
        <is>
          <t>tennis_wta_singapore_open</t>
        </is>
      </c>
      <c r="D112" t="inlineStr">
        <is>
          <t>Barbora Krejcikova vs Anna-Lena Friedsam</t>
        </is>
      </c>
      <c r="E112" t="inlineStr">
        <is>
          <t>Barbora Krejcikova</t>
        </is>
      </c>
      <c r="F112" t="inlineStr">
        <is>
          <t>h2h</t>
        </is>
      </c>
      <c r="G112" t="inlineStr">
        <is>
          <t>Unibet (SE)</t>
        </is>
      </c>
      <c r="H112" t="n">
        <v>11</v>
      </c>
      <c r="I112" t="n">
        <v>6.86</v>
      </c>
      <c r="J112" t="n">
        <v>60.4</v>
      </c>
      <c r="K112" t="n">
        <v>3</v>
      </c>
      <c r="L112" t="n">
        <v>20</v>
      </c>
      <c r="M112" t="n">
        <v>30</v>
      </c>
      <c r="N112" t="inlineStr">
        <is>
          <t>w</t>
        </is>
      </c>
      <c r="O112">
        <f>IF(UPPER(N112)="W",(H112-1)*L112,IF(UPPER(N112)="L",-L112,""))</f>
        <v/>
      </c>
      <c r="P112">
        <f>IF(UPPER(N112)="W",(H112-1)*M112,IF(UPPER(N112)="L",-M112,""))</f>
        <v/>
      </c>
    </row>
    <row r="114">
      <c r="A114" t="inlineStr">
        <is>
          <t>2026-10-07</t>
        </is>
      </c>
      <c r="B114" t="inlineStr">
        <is>
          <t>2026-10-08</t>
        </is>
      </c>
      <c r="C114" t="inlineStr">
        <is>
          <t>basketball_nba_preseason</t>
        </is>
      </c>
      <c r="D114" t="inlineStr">
        <is>
          <t>Portland Trail Blazers vs Golden State Warriors</t>
        </is>
      </c>
      <c r="E114" t="inlineStr">
        <is>
          <t>Golden State Warriors</t>
        </is>
      </c>
      <c r="F114" t="inlineStr">
        <is>
          <t>h2h</t>
        </is>
      </c>
      <c r="G114" t="inlineStr">
        <is>
          <t>Unibet (SE)</t>
        </is>
      </c>
      <c r="H114" t="n">
        <v>4.5</v>
      </c>
      <c r="I114" t="n">
        <v>4.27</v>
      </c>
      <c r="J114" t="n">
        <v>5.3</v>
      </c>
      <c r="K114" t="n">
        <v>0.8</v>
      </c>
      <c r="L114" t="n">
        <v>20</v>
      </c>
      <c r="M114" t="n">
        <v>8</v>
      </c>
      <c r="O114">
        <f>IF(UPPER(N114)="W",(H114-1)*L114,IF(UPPER(N114)="L",-L114,""))</f>
        <v/>
      </c>
      <c r="P114">
        <f>IF(UPPER(N114)="W",(H114-1)*M114,IF(UPPER(N114)="L",-M114,""))</f>
        <v/>
      </c>
    </row>
    <row r="115">
      <c r="A115" t="inlineStr">
        <is>
          <t>2026-10-07</t>
        </is>
      </c>
      <c r="B115" t="inlineStr">
        <is>
          <t>2026-10-09</t>
        </is>
      </c>
      <c r="C115" t="inlineStr">
        <is>
          <t>soccer_argentina_primera_division</t>
        </is>
      </c>
      <c r="D115" t="inlineStr">
        <is>
          <t>Instituto de Córdoba vs Boca Juniors</t>
        </is>
      </c>
      <c r="E115" t="inlineStr">
        <is>
          <t>Instituto de Córdoba</t>
        </is>
      </c>
      <c r="F115" t="inlineStr">
        <is>
          <t>h2h</t>
        </is>
      </c>
      <c r="G115" t="inlineStr">
        <is>
          <t>Unibet (SE)</t>
        </is>
      </c>
      <c r="H115" t="n">
        <v>3.25</v>
      </c>
      <c r="I115" t="n">
        <v>3.07</v>
      </c>
      <c r="J115" t="n">
        <v>6</v>
      </c>
      <c r="K115" t="n">
        <v>1.3</v>
      </c>
      <c r="L115" t="n">
        <v>20</v>
      </c>
      <c r="M115" t="n">
        <v>13</v>
      </c>
      <c r="O115">
        <f>IF(UPPER(N115)="W",(H115-1)*L115,IF(UPPER(N115)="L",-L115,""))</f>
        <v/>
      </c>
      <c r="P115">
        <f>IF(UPPER(N115)="W",(H115-1)*M115,IF(UPPER(N115)="L",-M115,""))</f>
        <v/>
      </c>
    </row>
    <row r="116">
      <c r="A116" t="inlineStr">
        <is>
          <t>2026-10-07</t>
        </is>
      </c>
      <c r="B116" t="inlineStr">
        <is>
          <t>2026-10-09</t>
        </is>
      </c>
      <c r="C116" t="inlineStr">
        <is>
          <t>soccer_germany_bundesliga2</t>
        </is>
      </c>
      <c r="D116" t="inlineStr">
        <is>
          <t>1. FC Heidenheim vs 1. FC Kaiserslautern</t>
        </is>
      </c>
      <c r="E116" t="inlineStr">
        <is>
          <t>Draw</t>
        </is>
      </c>
      <c r="F116" t="inlineStr">
        <is>
          <t>h2h</t>
        </is>
      </c>
      <c r="G116" t="inlineStr">
        <is>
          <t>Unibet (SE)</t>
        </is>
      </c>
      <c r="H116" t="n">
        <v>3.85</v>
      </c>
      <c r="I116" t="n">
        <v>3.64</v>
      </c>
      <c r="J116" t="n">
        <v>5.8</v>
      </c>
      <c r="K116" t="n">
        <v>1</v>
      </c>
      <c r="L116" t="n">
        <v>20</v>
      </c>
      <c r="M116" t="n">
        <v>10</v>
      </c>
      <c r="O116">
        <f>IF(UPPER(N116)="W",(H116-1)*L116,IF(UPPER(N116)="L",-L116,""))</f>
        <v/>
      </c>
      <c r="P116">
        <f>IF(UPPER(N116)="W",(H116-1)*M116,IF(UPPER(N116)="L",-M116,""))</f>
        <v/>
      </c>
    </row>
    <row r="117">
      <c r="A117" t="inlineStr">
        <is>
          <t>2026-10-07</t>
        </is>
      </c>
      <c r="B117" t="inlineStr">
        <is>
          <t>2026-10-09</t>
        </is>
      </c>
      <c r="C117" t="inlineStr">
        <is>
          <t>soccer_saudi_arabia_pro_league</t>
        </is>
      </c>
      <c r="D117" t="inlineStr">
        <is>
          <t>Al-Kholood vs Al-Qadsiah</t>
        </is>
      </c>
      <c r="E117" t="inlineStr">
        <is>
          <t>Al-Kholood</t>
        </is>
      </c>
      <c r="F117" t="inlineStr">
        <is>
          <t>h2h</t>
        </is>
      </c>
      <c r="G117" t="inlineStr">
        <is>
          <t>Unibet (SE)</t>
        </is>
      </c>
      <c r="H117" t="n">
        <v>6</v>
      </c>
      <c r="I117" t="n">
        <v>5.75</v>
      </c>
      <c r="J117" t="n">
        <v>4.3</v>
      </c>
      <c r="K117" t="n">
        <v>0.4</v>
      </c>
      <c r="L117" t="n">
        <v>20</v>
      </c>
      <c r="M117" t="n">
        <v>4</v>
      </c>
      <c r="N117" t="inlineStr"/>
      <c r="O117">
        <f>IF(UPPER(N117)="W",(H117-1)*L117,IF(UPPER(N117)="L",-L117,""))</f>
        <v/>
      </c>
      <c r="P117">
        <f>IF(UPPER(N117)="W",(H117-1)*M117,IF(UPPER(N117)="L",-M117,""))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2026-06-29T11:54:16Z</dcterms:created>
  <dcterms:modified xsi:type="dcterms:W3CDTF">2026-10-07T08:30:38Z</dcterms:modified>
  <cp:lastModifiedBy>Simon Sayadi</cp:lastModifiedBy>
</cp:coreProperties>
</file>